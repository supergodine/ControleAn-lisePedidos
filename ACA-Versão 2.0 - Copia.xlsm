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cdounout\Downloads\"/>
    </mc:Choice>
  </mc:AlternateContent>
  <xr:revisionPtr revIDLastSave="0" documentId="13_ncr:1_{0A1D8DC7-0193-457E-BF30-FEE4AC25CC48}" xr6:coauthVersionLast="36" xr6:coauthVersionMax="47" xr10:uidLastSave="{00000000-0000-0000-0000-000000000000}"/>
  <bookViews>
    <workbookView xWindow="0" yWindow="0" windowWidth="38400" windowHeight="12105" tabRatio="697" activeTab="10" xr2:uid="{03EC55BE-D6F8-4E12-87B6-1847362B85D8}"/>
  </bookViews>
  <sheets>
    <sheet name="Início" sheetId="13" r:id="rId1"/>
    <sheet name="Clientes" sheetId="21" r:id="rId2"/>
    <sheet name="Produtos" sheetId="19" r:id="rId3"/>
    <sheet name="Vendedores" sheetId="22" r:id="rId4"/>
    <sheet name="QTD_liberada_geral" sheetId="23" r:id="rId5"/>
    <sheet name="BASE_ENGENHEIRO" sheetId="24" r:id="rId6"/>
    <sheet name="BALANÇO_PATIO" sheetId="25" r:id="rId7"/>
    <sheet name="Cadastro_Pedido" sheetId="11" r:id="rId8"/>
    <sheet name="Atualizar_Pedido" sheetId="26" r:id="rId9"/>
    <sheet name="Produção" sheetId="9" r:id="rId10"/>
    <sheet name="Entregas" sheetId="27" r:id="rId11"/>
    <sheet name="Expedição" sheetId="12" state="hidden" r:id="rId12"/>
  </sheets>
  <definedNames>
    <definedName name="_xlnm._FilterDatabase" localSheetId="8" hidden="1">Atualizar_Pedido!$V$18:$Z$18</definedName>
    <definedName name="_xlnm._FilterDatabase" localSheetId="6" hidden="1">BALANÇO_PATIO!$A$1:$C$710</definedName>
    <definedName name="_xlnm._FilterDatabase" localSheetId="9" hidden="1">Produção!$B$8:$X$20</definedName>
    <definedName name="_xlnm.Criteria" localSheetId="6">BALANÇO_PATIO!$B:$B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7" i="26" l="1"/>
  <c r="V24" i="26"/>
  <c r="V21" i="26"/>
  <c r="V27" i="26" l="1"/>
  <c r="D18" i="9" l="1"/>
  <c r="B18" i="9"/>
  <c r="Y18" i="9"/>
  <c r="U18" i="9"/>
  <c r="R18" i="9"/>
  <c r="D17" i="9"/>
  <c r="B17" i="9"/>
  <c r="Y17" i="9"/>
  <c r="U17" i="9"/>
  <c r="R17" i="9"/>
  <c r="D16" i="9"/>
  <c r="B16" i="9"/>
  <c r="Y16" i="9"/>
  <c r="U16" i="9"/>
  <c r="R16" i="9"/>
  <c r="D15" i="9"/>
  <c r="B15" i="9"/>
  <c r="Y15" i="9"/>
  <c r="U15" i="9"/>
  <c r="R15" i="9"/>
  <c r="D14" i="9"/>
  <c r="B14" i="9"/>
  <c r="Y14" i="9"/>
  <c r="U14" i="9"/>
  <c r="R14" i="9"/>
  <c r="D13" i="9" l="1"/>
  <c r="B13" i="9"/>
  <c r="Y13" i="9"/>
  <c r="U13" i="9"/>
  <c r="R13" i="9"/>
  <c r="D12" i="9"/>
  <c r="B12" i="9"/>
  <c r="Y12" i="9"/>
  <c r="U12" i="9"/>
  <c r="R12" i="9"/>
  <c r="D11" i="9"/>
  <c r="B11" i="9"/>
  <c r="Y11" i="9"/>
  <c r="U11" i="9"/>
  <c r="R11" i="9"/>
  <c r="D10" i="9"/>
  <c r="B10" i="9"/>
  <c r="Y10" i="9"/>
  <c r="U10" i="9"/>
  <c r="R10" i="9"/>
  <c r="D9" i="9"/>
  <c r="B9" i="9"/>
  <c r="Y9" i="9"/>
  <c r="U9" i="9"/>
  <c r="R9" i="9"/>
  <c r="D399" i="23" l="1"/>
  <c r="D400" i="23"/>
  <c r="D401" i="23"/>
  <c r="D402" i="23"/>
  <c r="D403" i="23"/>
  <c r="D404" i="23"/>
  <c r="D405" i="23"/>
  <c r="D406" i="23"/>
  <c r="D407" i="23"/>
  <c r="D408" i="23"/>
  <c r="D409" i="23"/>
  <c r="D410" i="23"/>
  <c r="D411" i="23"/>
  <c r="D412" i="23"/>
  <c r="D413" i="23"/>
  <c r="D414" i="23"/>
  <c r="D415" i="23"/>
  <c r="D416" i="23"/>
  <c r="D417" i="23"/>
  <c r="D418" i="23"/>
  <c r="D419" i="23"/>
  <c r="D420" i="23"/>
  <c r="D421" i="23"/>
  <c r="D422" i="23"/>
  <c r="D423" i="23"/>
  <c r="D424" i="23"/>
  <c r="D425" i="23"/>
  <c r="D426" i="23"/>
  <c r="D427" i="23"/>
  <c r="D428" i="23"/>
  <c r="D429" i="23"/>
  <c r="D430" i="23"/>
  <c r="D431" i="23"/>
  <c r="D432" i="23"/>
  <c r="D433" i="23"/>
  <c r="D434" i="23"/>
  <c r="D435" i="23"/>
  <c r="D436" i="23"/>
  <c r="D437" i="23"/>
  <c r="D438" i="23"/>
  <c r="D439" i="23"/>
  <c r="D440" i="23"/>
  <c r="D441" i="23"/>
  <c r="D442" i="23"/>
  <c r="D443" i="23"/>
  <c r="D444" i="23"/>
  <c r="D445" i="23"/>
  <c r="D446" i="23"/>
  <c r="D447" i="23"/>
  <c r="D448" i="23"/>
  <c r="D449" i="23"/>
  <c r="D450" i="23"/>
  <c r="D451" i="23"/>
  <c r="D452" i="23"/>
  <c r="D453" i="23"/>
  <c r="D454" i="23"/>
  <c r="D455" i="23"/>
  <c r="D456" i="23"/>
  <c r="D457" i="23"/>
  <c r="D458" i="23"/>
  <c r="D459" i="23"/>
  <c r="D460" i="23"/>
  <c r="D461" i="23"/>
  <c r="D462" i="23"/>
  <c r="D463" i="23"/>
  <c r="D464" i="23"/>
  <c r="D465" i="23"/>
  <c r="D466" i="23"/>
  <c r="D467" i="23"/>
  <c r="D468" i="23"/>
  <c r="D469" i="23"/>
  <c r="D470" i="23"/>
  <c r="D471" i="23"/>
  <c r="D472" i="23"/>
  <c r="D473" i="23"/>
  <c r="D474" i="23"/>
  <c r="D475" i="23"/>
  <c r="D476" i="23"/>
  <c r="D477" i="23"/>
  <c r="D478" i="23"/>
  <c r="D479" i="23"/>
  <c r="D480" i="23"/>
  <c r="D481" i="23"/>
  <c r="D482" i="23"/>
  <c r="D483" i="23"/>
  <c r="D484" i="23"/>
  <c r="D485" i="23"/>
  <c r="D486" i="23"/>
  <c r="D487" i="23"/>
  <c r="D488" i="23"/>
  <c r="D489" i="23"/>
  <c r="D490" i="23"/>
  <c r="D491" i="23"/>
  <c r="D492" i="23"/>
  <c r="D493" i="23"/>
  <c r="D494" i="23"/>
  <c r="D495" i="23"/>
  <c r="D496" i="23"/>
  <c r="D497" i="23"/>
  <c r="D498" i="23"/>
  <c r="D499" i="23"/>
  <c r="D500" i="23"/>
  <c r="D501" i="23"/>
  <c r="D502" i="23"/>
  <c r="D503" i="23"/>
  <c r="D504" i="23"/>
  <c r="D505" i="23"/>
  <c r="D506" i="23"/>
  <c r="D507" i="23"/>
  <c r="D508" i="23"/>
  <c r="D509" i="23"/>
  <c r="D510" i="23"/>
  <c r="D511" i="23"/>
  <c r="D512" i="23"/>
  <c r="D513" i="23"/>
  <c r="D514" i="23"/>
  <c r="D515" i="23"/>
  <c r="D516" i="23"/>
  <c r="D517" i="23"/>
  <c r="D518" i="23"/>
  <c r="D519" i="23"/>
  <c r="D520" i="23"/>
  <c r="D521" i="23"/>
  <c r="D522" i="23"/>
  <c r="D523" i="23"/>
  <c r="D524" i="23"/>
  <c r="D525" i="23"/>
  <c r="D526" i="23"/>
  <c r="D527" i="23"/>
  <c r="D528" i="23"/>
  <c r="D529" i="23"/>
  <c r="D530" i="23"/>
  <c r="D531" i="23"/>
  <c r="D532" i="23"/>
  <c r="D533" i="23"/>
  <c r="D534" i="23"/>
  <c r="D535" i="23"/>
  <c r="D536" i="23"/>
  <c r="D537" i="23"/>
  <c r="D538" i="23"/>
  <c r="D539" i="23"/>
  <c r="D540" i="23"/>
  <c r="D541" i="23"/>
  <c r="D542" i="23"/>
  <c r="D543" i="23"/>
  <c r="D544" i="23"/>
  <c r="D545" i="23"/>
  <c r="D546" i="23"/>
  <c r="D547" i="23"/>
  <c r="D548" i="23"/>
  <c r="D549" i="23"/>
  <c r="D550" i="23"/>
  <c r="D551" i="23"/>
  <c r="D552" i="23"/>
  <c r="D553" i="23"/>
  <c r="D554" i="23"/>
  <c r="D555" i="23"/>
  <c r="D556" i="23"/>
  <c r="D557" i="23"/>
  <c r="D558" i="23"/>
  <c r="D559" i="23"/>
  <c r="D560" i="23"/>
  <c r="D561" i="23"/>
  <c r="D562" i="23"/>
  <c r="D563" i="23"/>
  <c r="D564" i="23"/>
  <c r="D565" i="23"/>
  <c r="D566" i="23"/>
  <c r="D567" i="23"/>
  <c r="D568" i="23"/>
  <c r="D569" i="23"/>
  <c r="D570" i="23"/>
  <c r="D571" i="23"/>
  <c r="D572" i="23"/>
  <c r="D573" i="23"/>
  <c r="D574" i="23"/>
  <c r="D575" i="23"/>
  <c r="D576" i="23"/>
  <c r="D577" i="23"/>
  <c r="D578" i="23"/>
  <c r="D579" i="23"/>
  <c r="D580" i="23"/>
  <c r="D581" i="23"/>
  <c r="D582" i="23"/>
  <c r="D583" i="23"/>
  <c r="D584" i="23"/>
  <c r="D585" i="23"/>
  <c r="D586" i="23"/>
  <c r="D587" i="23"/>
  <c r="D588" i="23"/>
  <c r="D589" i="23"/>
  <c r="D590" i="23"/>
  <c r="D591" i="23"/>
  <c r="D592" i="23"/>
  <c r="D593" i="23"/>
  <c r="D594" i="23"/>
  <c r="D595" i="23"/>
  <c r="D596" i="23"/>
  <c r="D597" i="23"/>
  <c r="D598" i="23"/>
  <c r="D599" i="23"/>
  <c r="D600" i="23"/>
  <c r="D601" i="23"/>
  <c r="D602" i="23"/>
  <c r="D603" i="23"/>
  <c r="D604" i="23"/>
  <c r="D605" i="23"/>
  <c r="D606" i="23"/>
  <c r="D607" i="23"/>
  <c r="D608" i="23"/>
  <c r="D609" i="23"/>
  <c r="D610" i="23"/>
  <c r="D611" i="23"/>
  <c r="D612" i="23"/>
  <c r="D613" i="23"/>
  <c r="D614" i="23"/>
  <c r="D615" i="23"/>
  <c r="D616" i="23"/>
  <c r="D617" i="23"/>
  <c r="D618" i="23"/>
  <c r="D619" i="23"/>
  <c r="D620" i="23"/>
  <c r="D622" i="23"/>
  <c r="D623" i="23"/>
  <c r="D624" i="23"/>
  <c r="D625" i="23"/>
  <c r="D626" i="23"/>
  <c r="D627" i="23"/>
  <c r="D628" i="23"/>
  <c r="D629" i="23"/>
  <c r="D630" i="23"/>
  <c r="D631" i="23"/>
  <c r="D632" i="23"/>
  <c r="D633" i="23"/>
  <c r="D634" i="23"/>
  <c r="D635" i="23"/>
  <c r="D636" i="23"/>
  <c r="D637" i="23"/>
  <c r="D638" i="23"/>
  <c r="D639" i="23"/>
  <c r="D640" i="23"/>
  <c r="D641" i="23"/>
  <c r="D642" i="23"/>
  <c r="D643" i="23"/>
  <c r="D644" i="23"/>
  <c r="D645" i="23"/>
  <c r="D646" i="23"/>
  <c r="D647" i="23"/>
  <c r="D648" i="23"/>
  <c r="D649" i="23"/>
  <c r="D650" i="23"/>
  <c r="D651" i="23"/>
  <c r="D652" i="23"/>
  <c r="D653" i="23"/>
  <c r="D654" i="23"/>
  <c r="D655" i="23"/>
  <c r="D656" i="23"/>
  <c r="D657" i="23"/>
  <c r="D658" i="23"/>
  <c r="D659" i="23"/>
  <c r="D660" i="23"/>
  <c r="D661" i="23"/>
  <c r="D662" i="23"/>
  <c r="D663" i="23"/>
  <c r="D664" i="23"/>
  <c r="D665" i="23"/>
  <c r="D666" i="23"/>
  <c r="D667" i="23"/>
  <c r="D668" i="23"/>
  <c r="D669" i="23"/>
  <c r="D670" i="23"/>
  <c r="D671" i="23"/>
  <c r="D672" i="23"/>
  <c r="D673" i="23"/>
  <c r="D674" i="23"/>
  <c r="D675" i="23"/>
  <c r="D676" i="23"/>
  <c r="D677" i="23"/>
  <c r="D678" i="23"/>
  <c r="D679" i="23"/>
  <c r="D680" i="23"/>
  <c r="D681" i="23"/>
  <c r="D682" i="23"/>
  <c r="D683" i="23"/>
  <c r="D684" i="23"/>
  <c r="D685" i="23"/>
  <c r="D686" i="23"/>
  <c r="D687" i="23"/>
  <c r="D688" i="23"/>
  <c r="D689" i="23"/>
  <c r="D690" i="23"/>
  <c r="D691" i="23"/>
  <c r="D692" i="23"/>
  <c r="D693" i="23"/>
  <c r="D694" i="23"/>
  <c r="D695" i="23"/>
  <c r="D696" i="23"/>
  <c r="D697" i="23"/>
  <c r="D698" i="23"/>
  <c r="D699" i="23"/>
  <c r="D700" i="23"/>
  <c r="D701" i="23"/>
  <c r="D702" i="23"/>
  <c r="D703" i="23"/>
  <c r="D704" i="23"/>
  <c r="D705" i="23"/>
  <c r="D706" i="23"/>
  <c r="D707" i="23"/>
  <c r="D708" i="23"/>
  <c r="D709" i="23"/>
  <c r="D710" i="23"/>
  <c r="D711" i="23"/>
  <c r="D712" i="23"/>
  <c r="D713" i="23"/>
  <c r="D621" i="23"/>
  <c r="C7" i="24" l="1"/>
  <c r="G7" i="25" l="1"/>
  <c r="G37" i="25" l="1"/>
  <c r="G3" i="25"/>
  <c r="G4" i="25"/>
  <c r="G5" i="25"/>
  <c r="G6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61" i="25"/>
  <c r="G162" i="25"/>
  <c r="G163" i="25"/>
  <c r="G164" i="25"/>
  <c r="G165" i="25"/>
  <c r="G166" i="25"/>
  <c r="G167" i="25"/>
  <c r="G168" i="25"/>
  <c r="G169" i="25"/>
  <c r="G170" i="25"/>
  <c r="G171" i="25"/>
  <c r="G172" i="25"/>
  <c r="G173" i="25"/>
  <c r="G174" i="25"/>
  <c r="G175" i="25"/>
  <c r="G176" i="25"/>
  <c r="G177" i="25"/>
  <c r="G178" i="25"/>
  <c r="G179" i="25"/>
  <c r="G180" i="25"/>
  <c r="G181" i="25"/>
  <c r="G182" i="25"/>
  <c r="G183" i="25"/>
  <c r="G184" i="25"/>
  <c r="G185" i="25"/>
  <c r="G186" i="25"/>
  <c r="G187" i="25"/>
  <c r="G188" i="25"/>
  <c r="G189" i="25"/>
  <c r="G190" i="25"/>
  <c r="G191" i="25"/>
  <c r="G192" i="25"/>
  <c r="G193" i="25"/>
  <c r="G194" i="25"/>
  <c r="G195" i="25"/>
  <c r="G196" i="25"/>
  <c r="G197" i="25"/>
  <c r="G198" i="25"/>
  <c r="G199" i="25"/>
  <c r="G200" i="25"/>
  <c r="G201" i="25"/>
  <c r="G202" i="25"/>
  <c r="G203" i="25"/>
  <c r="G204" i="25"/>
  <c r="G205" i="25"/>
  <c r="G206" i="25"/>
  <c r="G207" i="25"/>
  <c r="G208" i="25"/>
  <c r="G209" i="25"/>
  <c r="G210" i="25"/>
  <c r="G211" i="25"/>
  <c r="G212" i="25"/>
  <c r="G213" i="25"/>
  <c r="G214" i="25"/>
  <c r="G215" i="25"/>
  <c r="G216" i="25"/>
  <c r="G217" i="25"/>
  <c r="G218" i="25"/>
  <c r="G219" i="25"/>
  <c r="G220" i="25"/>
  <c r="G221" i="25"/>
  <c r="G222" i="25"/>
  <c r="G223" i="25"/>
  <c r="G224" i="25"/>
  <c r="G225" i="25"/>
  <c r="G226" i="25"/>
  <c r="G227" i="25"/>
  <c r="G228" i="25"/>
  <c r="G229" i="25"/>
  <c r="G230" i="25"/>
  <c r="G231" i="25"/>
  <c r="G232" i="25"/>
  <c r="G233" i="25"/>
  <c r="G234" i="25"/>
  <c r="G235" i="25"/>
  <c r="G236" i="25"/>
  <c r="G237" i="25"/>
  <c r="G238" i="25"/>
  <c r="G239" i="25"/>
  <c r="G240" i="25"/>
  <c r="G241" i="25"/>
  <c r="G242" i="25"/>
  <c r="G243" i="25"/>
  <c r="G244" i="25"/>
  <c r="G245" i="25"/>
  <c r="G246" i="25"/>
  <c r="G248" i="25"/>
  <c r="G249" i="25"/>
  <c r="G250" i="25"/>
  <c r="G251" i="25"/>
  <c r="G252" i="25"/>
  <c r="G253" i="25"/>
  <c r="G254" i="25"/>
  <c r="G255" i="25"/>
  <c r="G256" i="25"/>
  <c r="G257" i="25"/>
  <c r="G258" i="25"/>
  <c r="G259" i="25"/>
  <c r="G260" i="25"/>
  <c r="G261" i="25"/>
  <c r="G262" i="25"/>
  <c r="G263" i="25"/>
  <c r="G264" i="25"/>
  <c r="G265" i="25"/>
  <c r="G266" i="25"/>
  <c r="G267" i="25"/>
  <c r="G268" i="25"/>
  <c r="G269" i="25"/>
  <c r="G270" i="25"/>
  <c r="G271" i="25"/>
  <c r="G272" i="25"/>
  <c r="G273" i="25"/>
  <c r="G274" i="25"/>
  <c r="G275" i="25"/>
  <c r="G276" i="25"/>
  <c r="G277" i="25"/>
  <c r="G278" i="25"/>
  <c r="G279" i="25"/>
  <c r="G280" i="25"/>
  <c r="G281" i="25"/>
  <c r="G282" i="25"/>
  <c r="G283" i="25"/>
  <c r="G284" i="25"/>
  <c r="G285" i="25"/>
  <c r="G286" i="25"/>
  <c r="G287" i="25"/>
  <c r="G288" i="25"/>
  <c r="G289" i="25"/>
  <c r="G290" i="25"/>
  <c r="G291" i="25"/>
  <c r="G292" i="25"/>
  <c r="G293" i="25"/>
  <c r="G294" i="25"/>
  <c r="G295" i="25"/>
  <c r="G296" i="25"/>
  <c r="G297" i="25"/>
  <c r="G298" i="25"/>
  <c r="G299" i="25"/>
  <c r="G300" i="25"/>
  <c r="G301" i="25"/>
  <c r="G302" i="25"/>
  <c r="G303" i="25"/>
  <c r="G304" i="25"/>
  <c r="G305" i="25"/>
  <c r="G306" i="25"/>
  <c r="G307" i="25"/>
  <c r="G308" i="25"/>
  <c r="G309" i="25"/>
  <c r="G310" i="25"/>
  <c r="G311" i="25"/>
  <c r="G312" i="25"/>
  <c r="G313" i="25"/>
  <c r="G314" i="25"/>
  <c r="G315" i="25"/>
  <c r="G316" i="25"/>
  <c r="G317" i="25"/>
  <c r="G318" i="25"/>
  <c r="G319" i="25"/>
  <c r="G320" i="25"/>
  <c r="G321" i="25"/>
  <c r="G322" i="25"/>
  <c r="G323" i="25"/>
  <c r="G324" i="25"/>
  <c r="G325" i="25"/>
  <c r="G326" i="25"/>
  <c r="G327" i="25"/>
  <c r="G328" i="25"/>
  <c r="G329" i="25"/>
  <c r="G330" i="25"/>
  <c r="G331" i="25"/>
  <c r="G332" i="25"/>
  <c r="G333" i="25"/>
  <c r="G334" i="25"/>
  <c r="G335" i="25"/>
  <c r="G336" i="25"/>
  <c r="G337" i="25"/>
  <c r="G338" i="25"/>
  <c r="G339" i="25"/>
  <c r="G340" i="25"/>
  <c r="G341" i="25"/>
  <c r="G342" i="25"/>
  <c r="G343" i="25"/>
  <c r="G344" i="25"/>
  <c r="G345" i="25"/>
  <c r="G346" i="25"/>
  <c r="G347" i="25"/>
  <c r="G348" i="25"/>
  <c r="G349" i="25"/>
  <c r="G350" i="25"/>
  <c r="G351" i="25"/>
  <c r="G352" i="25"/>
  <c r="G353" i="25"/>
  <c r="G354" i="25"/>
  <c r="G355" i="25"/>
  <c r="G356" i="25"/>
  <c r="G357" i="25"/>
  <c r="G358" i="25"/>
  <c r="G359" i="25"/>
  <c r="G360" i="25"/>
  <c r="G361" i="25"/>
  <c r="G362" i="25"/>
  <c r="G363" i="25"/>
  <c r="G364" i="25"/>
  <c r="G365" i="25"/>
  <c r="G366" i="25"/>
  <c r="G367" i="25"/>
  <c r="G368" i="25"/>
  <c r="G369" i="25"/>
  <c r="G370" i="25"/>
  <c r="G371" i="25"/>
  <c r="G372" i="25"/>
  <c r="G373" i="25"/>
  <c r="G374" i="25"/>
  <c r="G375" i="25"/>
  <c r="G376" i="25"/>
  <c r="G377" i="25"/>
  <c r="G378" i="25"/>
  <c r="G379" i="25"/>
  <c r="G380" i="25"/>
  <c r="G381" i="25"/>
  <c r="G382" i="25"/>
  <c r="G383" i="25"/>
  <c r="G384" i="25"/>
  <c r="G385" i="25"/>
  <c r="G386" i="25"/>
  <c r="G387" i="25"/>
  <c r="G388" i="25"/>
  <c r="G389" i="25"/>
  <c r="G390" i="25"/>
  <c r="G391" i="25"/>
  <c r="G392" i="25"/>
  <c r="G393" i="25"/>
  <c r="G394" i="25"/>
  <c r="G395" i="25"/>
  <c r="G396" i="25"/>
  <c r="G397" i="25"/>
  <c r="G398" i="25"/>
  <c r="G399" i="25"/>
  <c r="G400" i="25"/>
  <c r="G401" i="25"/>
  <c r="G402" i="25"/>
  <c r="G403" i="25"/>
  <c r="G404" i="25"/>
  <c r="G405" i="25"/>
  <c r="G406" i="25"/>
  <c r="G407" i="25"/>
  <c r="G408" i="25"/>
  <c r="G409" i="25"/>
  <c r="G410" i="25"/>
  <c r="G411" i="25"/>
  <c r="G412" i="25"/>
  <c r="G413" i="25"/>
  <c r="G414" i="25"/>
  <c r="G415" i="25"/>
  <c r="G416" i="25"/>
  <c r="G417" i="25"/>
  <c r="G418" i="25"/>
  <c r="G419" i="25"/>
  <c r="G420" i="25"/>
  <c r="G421" i="25"/>
  <c r="G422" i="25"/>
  <c r="G423" i="25"/>
  <c r="G424" i="25"/>
  <c r="G425" i="25"/>
  <c r="G426" i="25"/>
  <c r="G427" i="25"/>
  <c r="G428" i="25"/>
  <c r="G429" i="25"/>
  <c r="G430" i="25"/>
  <c r="G431" i="25"/>
  <c r="G432" i="25"/>
  <c r="G433" i="25"/>
  <c r="G434" i="25"/>
  <c r="G435" i="25"/>
  <c r="G436" i="25"/>
  <c r="G437" i="25"/>
  <c r="G438" i="25"/>
  <c r="G439" i="25"/>
  <c r="G440" i="25"/>
  <c r="G441" i="25"/>
  <c r="G442" i="25"/>
  <c r="G443" i="25"/>
  <c r="G444" i="25"/>
  <c r="G445" i="25"/>
  <c r="G446" i="25"/>
  <c r="G447" i="25"/>
  <c r="G448" i="25"/>
  <c r="G449" i="25"/>
  <c r="G450" i="25"/>
  <c r="G451" i="25"/>
  <c r="G452" i="25"/>
  <c r="G453" i="25"/>
  <c r="G454" i="25"/>
  <c r="G455" i="25"/>
  <c r="G456" i="25"/>
  <c r="G457" i="25"/>
  <c r="G458" i="25"/>
  <c r="G459" i="25"/>
  <c r="G460" i="25"/>
  <c r="G461" i="25"/>
  <c r="G462" i="25"/>
  <c r="G463" i="25"/>
  <c r="G464" i="25"/>
  <c r="G465" i="25"/>
  <c r="G466" i="25"/>
  <c r="G467" i="25"/>
  <c r="G468" i="25"/>
  <c r="G469" i="25"/>
  <c r="G470" i="25"/>
  <c r="G471" i="25"/>
  <c r="G472" i="25"/>
  <c r="G473" i="25"/>
  <c r="G474" i="25"/>
  <c r="G475" i="25"/>
  <c r="G476" i="25"/>
  <c r="G477" i="25"/>
  <c r="G478" i="25"/>
  <c r="G479" i="25"/>
  <c r="G480" i="25"/>
  <c r="G481" i="25"/>
  <c r="G482" i="25"/>
  <c r="G483" i="25"/>
  <c r="G484" i="25"/>
  <c r="G485" i="25"/>
  <c r="G486" i="25"/>
  <c r="G487" i="25"/>
  <c r="G488" i="25"/>
  <c r="G489" i="25"/>
  <c r="G490" i="25"/>
  <c r="G491" i="25"/>
  <c r="G492" i="25"/>
  <c r="G493" i="25"/>
  <c r="G494" i="25"/>
  <c r="G495" i="25"/>
  <c r="G496" i="25"/>
  <c r="G497" i="25"/>
  <c r="G498" i="25"/>
  <c r="G499" i="25"/>
  <c r="G500" i="25"/>
  <c r="G501" i="25"/>
  <c r="G502" i="25"/>
  <c r="G503" i="25"/>
  <c r="G504" i="25"/>
  <c r="G505" i="25"/>
  <c r="G506" i="25"/>
  <c r="G507" i="25"/>
  <c r="G508" i="25"/>
  <c r="G509" i="25"/>
  <c r="G510" i="25"/>
  <c r="G511" i="25"/>
  <c r="G512" i="25"/>
  <c r="G513" i="25"/>
  <c r="G514" i="25"/>
  <c r="G515" i="25"/>
  <c r="G516" i="25"/>
  <c r="G517" i="25"/>
  <c r="G518" i="25"/>
  <c r="G519" i="25"/>
  <c r="G520" i="25"/>
  <c r="G521" i="25"/>
  <c r="G522" i="25"/>
  <c r="G523" i="25"/>
  <c r="G524" i="25"/>
  <c r="G525" i="25"/>
  <c r="G526" i="25"/>
  <c r="G527" i="25"/>
  <c r="G528" i="25"/>
  <c r="G529" i="25"/>
  <c r="G530" i="25"/>
  <c r="G531" i="25"/>
  <c r="G532" i="25"/>
  <c r="G533" i="25"/>
  <c r="G534" i="25"/>
  <c r="G535" i="25"/>
  <c r="G536" i="25"/>
  <c r="G537" i="25"/>
  <c r="G538" i="25"/>
  <c r="G539" i="25"/>
  <c r="G540" i="25"/>
  <c r="G541" i="25"/>
  <c r="G542" i="25"/>
  <c r="G543" i="25"/>
  <c r="G544" i="25"/>
  <c r="G545" i="25"/>
  <c r="G546" i="25"/>
  <c r="G547" i="25"/>
  <c r="G548" i="25"/>
  <c r="G549" i="25"/>
  <c r="G550" i="25"/>
  <c r="G551" i="25"/>
  <c r="G552" i="25"/>
  <c r="G553" i="25"/>
  <c r="G554" i="25"/>
  <c r="G555" i="25"/>
  <c r="G556" i="25"/>
  <c r="G557" i="25"/>
  <c r="G558" i="25"/>
  <c r="G559" i="25"/>
  <c r="G560" i="25"/>
  <c r="G561" i="25"/>
  <c r="G562" i="25"/>
  <c r="G563" i="25"/>
  <c r="G564" i="25"/>
  <c r="G565" i="25"/>
  <c r="G566" i="25"/>
  <c r="G567" i="25"/>
  <c r="G568" i="25"/>
  <c r="G569" i="25"/>
  <c r="G570" i="25"/>
  <c r="G571" i="25"/>
  <c r="G572" i="25"/>
  <c r="G573" i="25"/>
  <c r="G574" i="25"/>
  <c r="G575" i="25"/>
  <c r="G576" i="25"/>
  <c r="G577" i="25"/>
  <c r="G578" i="25"/>
  <c r="G579" i="25"/>
  <c r="G580" i="25"/>
  <c r="G581" i="25"/>
  <c r="G582" i="25"/>
  <c r="G583" i="25"/>
  <c r="G584" i="25"/>
  <c r="G585" i="25"/>
  <c r="G586" i="25"/>
  <c r="G587" i="25"/>
  <c r="G588" i="25"/>
  <c r="G589" i="25"/>
  <c r="G590" i="25"/>
  <c r="G591" i="25"/>
  <c r="G592" i="25"/>
  <c r="G593" i="25"/>
  <c r="G594" i="25"/>
  <c r="G595" i="25"/>
  <c r="G596" i="25"/>
  <c r="G597" i="25"/>
  <c r="G598" i="25"/>
  <c r="G599" i="25"/>
  <c r="G600" i="25"/>
  <c r="G601" i="25"/>
  <c r="G602" i="25"/>
  <c r="G603" i="25"/>
  <c r="G604" i="25"/>
  <c r="G605" i="25"/>
  <c r="G606" i="25"/>
  <c r="G607" i="25"/>
  <c r="G608" i="25"/>
  <c r="G609" i="25"/>
  <c r="G610" i="25"/>
  <c r="G611" i="25"/>
  <c r="G612" i="25"/>
  <c r="G613" i="25"/>
  <c r="G614" i="25"/>
  <c r="G615" i="25"/>
  <c r="G616" i="25"/>
  <c r="G617" i="25"/>
  <c r="G618" i="25"/>
  <c r="G619" i="25"/>
  <c r="G620" i="25"/>
  <c r="G621" i="25"/>
  <c r="G622" i="25"/>
  <c r="G623" i="25"/>
  <c r="G624" i="25"/>
  <c r="G625" i="25"/>
  <c r="G626" i="25"/>
  <c r="G627" i="25"/>
  <c r="G628" i="25"/>
  <c r="G629" i="25"/>
  <c r="G630" i="25"/>
  <c r="G631" i="25"/>
  <c r="G632" i="25"/>
  <c r="G633" i="25"/>
  <c r="G634" i="25"/>
  <c r="G635" i="25"/>
  <c r="G636" i="25"/>
  <c r="G637" i="25"/>
  <c r="G638" i="25"/>
  <c r="G639" i="25"/>
  <c r="G640" i="25"/>
  <c r="G641" i="25"/>
  <c r="G642" i="25"/>
  <c r="G643" i="25"/>
  <c r="G644" i="25"/>
  <c r="G645" i="25"/>
  <c r="G646" i="25"/>
  <c r="G647" i="25"/>
  <c r="G648" i="25"/>
  <c r="G649" i="25"/>
  <c r="G650" i="25"/>
  <c r="G651" i="25"/>
  <c r="G652" i="25"/>
  <c r="G653" i="25"/>
  <c r="G654" i="25"/>
  <c r="G655" i="25"/>
  <c r="G656" i="25"/>
  <c r="G657" i="25"/>
  <c r="G658" i="25"/>
  <c r="G659" i="25"/>
  <c r="G660" i="25"/>
  <c r="G661" i="25"/>
  <c r="G662" i="25"/>
  <c r="G663" i="25"/>
  <c r="G664" i="25"/>
  <c r="G665" i="25"/>
  <c r="G666" i="25"/>
  <c r="G667" i="25"/>
  <c r="G668" i="25"/>
  <c r="G669" i="25"/>
  <c r="G670" i="25"/>
  <c r="G671" i="25"/>
  <c r="G672" i="25"/>
  <c r="G673" i="25"/>
  <c r="G674" i="25"/>
  <c r="G675" i="25"/>
  <c r="G676" i="25"/>
  <c r="G677" i="25"/>
  <c r="G678" i="25"/>
  <c r="G679" i="25"/>
  <c r="G680" i="25"/>
  <c r="G681" i="25"/>
  <c r="G682" i="25"/>
  <c r="G683" i="25"/>
  <c r="G684" i="25"/>
  <c r="G685" i="25"/>
  <c r="G686" i="25"/>
  <c r="G687" i="25"/>
  <c r="G688" i="25"/>
  <c r="G689" i="25"/>
  <c r="G690" i="25"/>
  <c r="G691" i="25"/>
  <c r="G692" i="25"/>
  <c r="G693" i="25"/>
  <c r="G694" i="25"/>
  <c r="G695" i="25"/>
  <c r="G696" i="25"/>
  <c r="G697" i="25"/>
  <c r="G698" i="25"/>
  <c r="G699" i="25"/>
  <c r="G700" i="25"/>
  <c r="G701" i="25"/>
  <c r="G702" i="25"/>
  <c r="G703" i="25"/>
  <c r="G704" i="25"/>
  <c r="G705" i="25"/>
  <c r="G706" i="25"/>
  <c r="G707" i="25"/>
  <c r="G708" i="25"/>
  <c r="G709" i="25"/>
  <c r="G710" i="25"/>
  <c r="G2" i="25"/>
  <c r="V18" i="26" l="1"/>
  <c r="D74" i="23" l="1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44" i="23"/>
  <c r="D245" i="23"/>
  <c r="D247" i="23"/>
  <c r="D248" i="23"/>
  <c r="D249" i="23"/>
  <c r="D250" i="23"/>
  <c r="D251" i="23"/>
  <c r="D252" i="23"/>
  <c r="D253" i="23"/>
  <c r="D254" i="23"/>
  <c r="D255" i="23"/>
  <c r="D256" i="23"/>
  <c r="D258" i="23"/>
  <c r="D259" i="23"/>
  <c r="D260" i="23"/>
  <c r="D261" i="23"/>
  <c r="D262" i="23"/>
  <c r="D263" i="23"/>
  <c r="D264" i="23"/>
  <c r="D265" i="23"/>
  <c r="D266" i="23"/>
  <c r="D267" i="23"/>
  <c r="D268" i="23"/>
  <c r="D269" i="23"/>
  <c r="D270" i="23"/>
  <c r="D271" i="23"/>
  <c r="D272" i="23"/>
  <c r="D273" i="23"/>
  <c r="D274" i="23"/>
  <c r="D275" i="23"/>
  <c r="D276" i="23"/>
  <c r="D277" i="23"/>
  <c r="D278" i="23"/>
  <c r="D279" i="23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D296" i="23"/>
  <c r="D297" i="23"/>
  <c r="D298" i="23"/>
  <c r="D299" i="23"/>
  <c r="D300" i="23"/>
  <c r="D301" i="23"/>
  <c r="D302" i="23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D318" i="23"/>
  <c r="D319" i="23"/>
  <c r="D320" i="23"/>
  <c r="D321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43" i="23"/>
  <c r="D344" i="23"/>
  <c r="D345" i="23"/>
  <c r="D346" i="23"/>
  <c r="D347" i="23"/>
  <c r="D348" i="23"/>
  <c r="D349" i="23"/>
  <c r="D350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79" i="23"/>
  <c r="D380" i="23"/>
  <c r="D381" i="23"/>
  <c r="D382" i="23"/>
  <c r="D383" i="23"/>
  <c r="D384" i="23"/>
  <c r="D385" i="23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257" i="23"/>
  <c r="D246" i="23"/>
  <c r="D43" i="23" l="1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2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8" i="23"/>
  <c r="D39" i="23"/>
  <c r="D40" i="23"/>
  <c r="D41" i="23"/>
  <c r="D42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3" i="23"/>
  <c r="D37" i="23" l="1"/>
  <c r="C710" i="24" l="1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5" i="24"/>
  <c r="C586" i="24"/>
  <c r="C587" i="24"/>
  <c r="C588" i="24"/>
  <c r="C589" i="24"/>
  <c r="C590" i="24"/>
  <c r="C591" i="24"/>
  <c r="C592" i="24"/>
  <c r="C593" i="24"/>
  <c r="C594" i="24"/>
  <c r="C595" i="24"/>
  <c r="C596" i="24"/>
  <c r="C597" i="24"/>
  <c r="C598" i="24"/>
  <c r="C599" i="24"/>
  <c r="C600" i="24"/>
  <c r="C601" i="24"/>
  <c r="C602" i="24"/>
  <c r="C603" i="24"/>
  <c r="C604" i="24"/>
  <c r="C605" i="24"/>
  <c r="C606" i="24"/>
  <c r="C607" i="24"/>
  <c r="C608" i="24"/>
  <c r="C609" i="24"/>
  <c r="C610" i="24"/>
  <c r="C611" i="24"/>
  <c r="C612" i="24"/>
  <c r="C613" i="24"/>
  <c r="C614" i="24"/>
  <c r="C615" i="24"/>
  <c r="C616" i="24"/>
  <c r="C617" i="24"/>
  <c r="C618" i="24"/>
  <c r="C619" i="24"/>
  <c r="C620" i="24"/>
  <c r="C621" i="24"/>
  <c r="C622" i="24"/>
  <c r="C623" i="24"/>
  <c r="C624" i="24"/>
  <c r="C625" i="24"/>
  <c r="C626" i="24"/>
  <c r="C627" i="24"/>
  <c r="C628" i="24"/>
  <c r="C629" i="24"/>
  <c r="C630" i="24"/>
  <c r="C631" i="24"/>
  <c r="C632" i="24"/>
  <c r="C633" i="24"/>
  <c r="C634" i="24"/>
  <c r="C635" i="24"/>
  <c r="C636" i="24"/>
  <c r="C637" i="24"/>
  <c r="C638" i="24"/>
  <c r="C639" i="24"/>
  <c r="C640" i="24"/>
  <c r="C641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72" i="24"/>
  <c r="C673" i="24"/>
  <c r="C674" i="24"/>
  <c r="C675" i="24"/>
  <c r="C676" i="24"/>
  <c r="C677" i="24"/>
  <c r="C678" i="24"/>
  <c r="C679" i="24"/>
  <c r="C680" i="24"/>
  <c r="C681" i="24"/>
  <c r="C682" i="24"/>
  <c r="C683" i="24"/>
  <c r="C684" i="24"/>
  <c r="C685" i="24"/>
  <c r="C686" i="24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13" i="24"/>
  <c r="C14" i="24"/>
  <c r="C15" i="24"/>
  <c r="C16" i="24"/>
  <c r="C17" i="24"/>
  <c r="C18" i="24"/>
  <c r="C19" i="24"/>
  <c r="C21" i="24"/>
  <c r="C22" i="24"/>
  <c r="C23" i="24"/>
  <c r="C25" i="24"/>
  <c r="C26" i="24"/>
  <c r="C27" i="24"/>
  <c r="C28" i="24"/>
  <c r="C29" i="24"/>
  <c r="C30" i="24"/>
  <c r="C31" i="24"/>
  <c r="C32" i="24"/>
  <c r="C33" i="24"/>
  <c r="C713" i="24"/>
  <c r="C3" i="24"/>
  <c r="C4" i="24"/>
  <c r="C711" i="24"/>
  <c r="C6" i="24"/>
  <c r="C712" i="24"/>
  <c r="C5" i="24"/>
  <c r="C2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8" i="24" l="1"/>
  <c r="C9" i="24"/>
  <c r="C11" i="24"/>
  <c r="C12" i="24"/>
  <c r="F14" i="11" l="1"/>
  <c r="F20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Clara Lopes</author>
  </authors>
  <commentList>
    <comment ref="J8" authorId="0" shapeId="0" xr:uid="{935E8327-6C55-4D73-AD43-17B1FBDB1EE0}">
      <text>
        <r>
          <rPr>
            <b/>
            <sz val="9"/>
            <color indexed="81"/>
            <rFont val="Segoe UI"/>
            <family val="2"/>
          </rPr>
          <t>PRODUÇÃO: etapa de produção do material
EM ANDAMENTO: o material referente aquele pedido já está sendo entregue para o cliente final</t>
        </r>
      </text>
    </comment>
    <comment ref="L8" authorId="0" shapeId="0" xr:uid="{BB85CF48-5129-41A8-8B48-9986D742A25F}">
      <text>
        <r>
          <rPr>
            <b/>
            <sz val="9"/>
            <color indexed="81"/>
            <rFont val="Segoe UI"/>
            <family val="2"/>
          </rPr>
          <t>Quantidade referente aquele material que foi enviada para o cliente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1D972C60-4BEC-46B1-8037-D67319A6736F}">
      <text>
        <r>
          <rPr>
            <b/>
            <sz val="11"/>
            <color indexed="81"/>
            <rFont val="Segoe UI"/>
            <family val="2"/>
          </rPr>
          <t>Qtd_Inicial - Qtd_Entregue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N8" authorId="0" shapeId="0" xr:uid="{8F452126-A473-42ED-BF6C-39B1DFB6C08A}">
      <text>
        <r>
          <rPr>
            <b/>
            <sz val="9"/>
            <color indexed="81"/>
            <rFont val="Segoe UI"/>
            <family val="2"/>
          </rPr>
          <t>Quando a expedição passa a quantidade para os engenheiros "produção"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<sst xmlns="http://schemas.openxmlformats.org/spreadsheetml/2006/main" count="3189" uniqueCount="987">
  <si>
    <t>Cliente</t>
  </si>
  <si>
    <t>Produto</t>
  </si>
  <si>
    <t xml:space="preserve">Cliente:  </t>
  </si>
  <si>
    <t xml:space="preserve">Produto:  </t>
  </si>
  <si>
    <t xml:space="preserve">Qtd Inicial:  </t>
  </si>
  <si>
    <t xml:space="preserve">Data de realização do Pedido:  </t>
  </si>
  <si>
    <t xml:space="preserve">Prazo para a entrega:  </t>
  </si>
  <si>
    <t>Clientes</t>
  </si>
  <si>
    <t>GP &amp; Associados</t>
  </si>
  <si>
    <t>Construtora Terra Simao</t>
  </si>
  <si>
    <t>Soebe Construcao</t>
  </si>
  <si>
    <t>Ponte Alta</t>
  </si>
  <si>
    <t>Solvi Caieiras</t>
  </si>
  <si>
    <t>Construtora Kamilos</t>
  </si>
  <si>
    <t>Consorcio Etc / Shunck</t>
  </si>
  <si>
    <t>Vigent Construcoes</t>
  </si>
  <si>
    <t>Paulista Obras</t>
  </si>
  <si>
    <t>Maxime Engenharia</t>
  </si>
  <si>
    <t>Empresa Construtora Brasil</t>
  </si>
  <si>
    <t>Maria Luiza Construcoes</t>
  </si>
  <si>
    <t>Sergio Porto</t>
  </si>
  <si>
    <t>N.F Motta</t>
  </si>
  <si>
    <t>Nova Horizonte Jacarepagua</t>
  </si>
  <si>
    <t>Ponto Forte</t>
  </si>
  <si>
    <t>Consorcio Ambiental FJ</t>
  </si>
  <si>
    <t>Consorcio Mananciais</t>
  </si>
  <si>
    <t>Reserva Pinda</t>
  </si>
  <si>
    <t>Tmk Engenharia</t>
  </si>
  <si>
    <t>Urban</t>
  </si>
  <si>
    <t>Serkam Servicos</t>
  </si>
  <si>
    <t xml:space="preserve">Lgr Our House </t>
  </si>
  <si>
    <t>Encalso Construcoes</t>
  </si>
  <si>
    <t>Consorcio  Rec Ambiental</t>
  </si>
  <si>
    <t>Jofege</t>
  </si>
  <si>
    <t>Leac Imoveis Spe Ltda</t>
  </si>
  <si>
    <t>Cerqueira Torres</t>
  </si>
  <si>
    <t>Terracom Construcoes</t>
  </si>
  <si>
    <t>Macterra</t>
  </si>
  <si>
    <t>Casamax Comercial</t>
  </si>
  <si>
    <t>Taubate 333</t>
  </si>
  <si>
    <t>Versatil Engenharia</t>
  </si>
  <si>
    <t>Frechaltore</t>
  </si>
  <si>
    <t>P. forte Construções</t>
  </si>
  <si>
    <t>Pojeto Imobiliario DI</t>
  </si>
  <si>
    <t>Jon Engenharia</t>
  </si>
  <si>
    <t>Vision Colinas</t>
  </si>
  <si>
    <t>Potenza Engenharia</t>
  </si>
  <si>
    <t>Copa S.A</t>
  </si>
  <si>
    <t>Jsz Engenharia</t>
  </si>
  <si>
    <t>Alabastro Construções</t>
  </si>
  <si>
    <t>Almeida Sapata</t>
  </si>
  <si>
    <t>Recuperação Amb.</t>
  </si>
  <si>
    <t>Consorcio Telar</t>
  </si>
  <si>
    <t>Ofk Engenharia</t>
  </si>
  <si>
    <t>Vece Incorporadora</t>
  </si>
  <si>
    <t>Land Vale</t>
  </si>
  <si>
    <t>Urba 33</t>
  </si>
  <si>
    <t>Polemica Servicos</t>
  </si>
  <si>
    <t>Sete Saneamento</t>
  </si>
  <si>
    <t>Gds Construcao</t>
  </si>
  <si>
    <t>Pedra Angular II</t>
  </si>
  <si>
    <t>Campos Prado</t>
  </si>
  <si>
    <t>Agnus Engenharia</t>
  </si>
  <si>
    <t>Palacio Construcoes</t>
  </si>
  <si>
    <t>Zigurate Construcoes</t>
  </si>
  <si>
    <t>He Engenharia</t>
  </si>
  <si>
    <t>Compec Galasso</t>
  </si>
  <si>
    <t>Lotear Fase 2</t>
  </si>
  <si>
    <t>Gencons Terrassos</t>
  </si>
  <si>
    <t>Consorcio Paulista / Resolute / Ept</t>
  </si>
  <si>
    <t>Consorcio VP</t>
  </si>
  <si>
    <t>L.A.N Empreendimentos</t>
  </si>
  <si>
    <t>Jt Sanemaneto</t>
  </si>
  <si>
    <t>One Princesa Isabel</t>
  </si>
  <si>
    <t>Golgi Fundo de Invest.</t>
  </si>
  <si>
    <t>Pacaembu</t>
  </si>
  <si>
    <t>Mario Tanaka</t>
  </si>
  <si>
    <t>Setcorp</t>
  </si>
  <si>
    <t>Consorcio Vidagua</t>
  </si>
  <si>
    <t>Edificio das Artes</t>
  </si>
  <si>
    <t>Tecla Construcoes</t>
  </si>
  <si>
    <t>Mrv Xc Incorporacoes</t>
  </si>
  <si>
    <t>V Barros Participacoes</t>
  </si>
  <si>
    <t>Vital Brasil 216</t>
  </si>
  <si>
    <t>Ccisa 85</t>
  </si>
  <si>
    <t>Serveng</t>
  </si>
  <si>
    <t>Engetami Engenharia</t>
  </si>
  <si>
    <t>Hajz Ferraz</t>
  </si>
  <si>
    <t>Construir Loteadora</t>
  </si>
  <si>
    <t>Nova Th Empreendimentos</t>
  </si>
  <si>
    <t>Consorcio V2</t>
  </si>
  <si>
    <t>Baraldi e Baraldi</t>
  </si>
  <si>
    <t>Allonda Amb.</t>
  </si>
  <si>
    <t>Dbo Engenharia</t>
  </si>
  <si>
    <t>Lar Cooperativa</t>
  </si>
  <si>
    <t>Fne Jardim Paulista</t>
  </si>
  <si>
    <t>Coneleste Construtora</t>
  </si>
  <si>
    <t>Grupo Adn</t>
  </si>
  <si>
    <t>Cont. Reflora</t>
  </si>
  <si>
    <t>Sanorte Saneamento</t>
  </si>
  <si>
    <t>Massachusetts Empreendimentos</t>
  </si>
  <si>
    <t>Prefeitura Nazare Paulista</t>
  </si>
  <si>
    <t>B3 Engenharia</t>
  </si>
  <si>
    <t>Parque Vivere II</t>
  </si>
  <si>
    <t>Horizonte Azul</t>
  </si>
  <si>
    <t>Cdr Pedreira</t>
  </si>
  <si>
    <t>Altos do Barreiro</t>
  </si>
  <si>
    <t>Reluc Saneamento</t>
  </si>
  <si>
    <t>Marco Adm.</t>
  </si>
  <si>
    <t>Preserjac</t>
  </si>
  <si>
    <t>Cetenco Engenharia</t>
  </si>
  <si>
    <t xml:space="preserve">ETC Empreendimentos </t>
  </si>
  <si>
    <t>Global Franca</t>
  </si>
  <si>
    <t>Pinese Vieira</t>
  </si>
  <si>
    <t>Swiss Park</t>
  </si>
  <si>
    <t>Consorcio Els</t>
  </si>
  <si>
    <t>Cons. ETE ABC</t>
  </si>
  <si>
    <t>Consorcio para Obras de Infra</t>
  </si>
  <si>
    <t>Rivale Representacoes</t>
  </si>
  <si>
    <t>Jr Construtora</t>
  </si>
  <si>
    <t>Revita Engenharia</t>
  </si>
  <si>
    <t>H15 Shibata</t>
  </si>
  <si>
    <t>Mdr Construtora</t>
  </si>
  <si>
    <t>Construtora e Incorporadora Faleiros</t>
  </si>
  <si>
    <t>Edp Infraestrutura</t>
  </si>
  <si>
    <t>Kartodromo V11</t>
  </si>
  <si>
    <t>Porto de Areia Branca</t>
  </si>
  <si>
    <t>A3</t>
  </si>
  <si>
    <t>Consorcio Canalização Veleiros</t>
  </si>
  <si>
    <t>Proactiva Meio Ambiente Brasil Ltda</t>
  </si>
  <si>
    <t>Ar Rolamentos</t>
  </si>
  <si>
    <t>Eixxo Empreendimentos</t>
  </si>
  <si>
    <t>Edmilson Portifirio Da Silva</t>
  </si>
  <si>
    <t>Fibra Engenharia de Instalações</t>
  </si>
  <si>
    <t>Paulo Roberto</t>
  </si>
  <si>
    <t>Pienz - Administração de Bens</t>
  </si>
  <si>
    <t>LBM Materiais</t>
  </si>
  <si>
    <t>Mineração Amazonas Comercio</t>
  </si>
  <si>
    <t>Helen Aparecida</t>
  </si>
  <si>
    <t>Serveng Civilsan S.a</t>
  </si>
  <si>
    <t>Ideal Infraestrutura</t>
  </si>
  <si>
    <t>Saned Engenharia</t>
  </si>
  <si>
    <t>Agilid Construções Ltda</t>
  </si>
  <si>
    <t xml:space="preserve">Ricardo Soares Pereira </t>
  </si>
  <si>
    <t>Consorcio Telar / Construbase</t>
  </si>
  <si>
    <t>Consorcio Cantareira</t>
  </si>
  <si>
    <t>Comercio, Terraplenagem Garcia</t>
  </si>
  <si>
    <t>Comercial Esperança Atacadista</t>
  </si>
  <si>
    <t>JZ Engenharia</t>
  </si>
  <si>
    <t>Megasteel Comercio</t>
  </si>
  <si>
    <t>Fernando Antonio Lopes</t>
  </si>
  <si>
    <t>ARS Construções e Serviços</t>
  </si>
  <si>
    <t>Consorcio Rio Baquirivu</t>
  </si>
  <si>
    <t>Serviço Municipal de Agus - SEMAE</t>
  </si>
  <si>
    <t>Rual Construções e Comercio Ltda</t>
  </si>
  <si>
    <t>Álya Construtora S/A</t>
  </si>
  <si>
    <t>MDR Construtora e Pav.</t>
  </si>
  <si>
    <t>Pavsane Pavmentação, Saneamento</t>
  </si>
  <si>
    <t>UTGR Americana Ambiental Ltda</t>
  </si>
  <si>
    <t>Itaquareia Industria</t>
  </si>
  <si>
    <t>TMV Empreendimentos</t>
  </si>
  <si>
    <t>RO Aguaí</t>
  </si>
  <si>
    <t>Supreme  Montagens</t>
  </si>
  <si>
    <t>Associação dos amigos</t>
  </si>
  <si>
    <t>MRT Raizes Mooca</t>
  </si>
  <si>
    <t>Ubatuba Negocios</t>
  </si>
  <si>
    <t>Guaya Residencial Clube</t>
  </si>
  <si>
    <t>Catuí Engenharia</t>
  </si>
  <si>
    <t>Lrg E Our House</t>
  </si>
  <si>
    <t>Engecomse Materiais</t>
  </si>
  <si>
    <t>Serveng Civilsan S.A Empresas Ass</t>
  </si>
  <si>
    <t>B3- Engenharia e Construções</t>
  </si>
  <si>
    <t>CPS Bild Desenvolvimento Imobiliario</t>
  </si>
  <si>
    <t>M Patri SPE 01 Empreendimentos</t>
  </si>
  <si>
    <t>Consorcio Recuperação Amb</t>
  </si>
  <si>
    <t>DCPI Serviços</t>
  </si>
  <si>
    <t>Urbanizadora municipal S/A - urbam</t>
  </si>
  <si>
    <t>Porte de areia branca ltda</t>
  </si>
  <si>
    <t>Agua boa cardealspe ltda</t>
  </si>
  <si>
    <t>Viewco 17 emprrendimento ltda</t>
  </si>
  <si>
    <t>Milão investimentos imob. Ltda</t>
  </si>
  <si>
    <t>Village nova jambeiro empre. Imob.spe ltda</t>
  </si>
  <si>
    <t>Parque raposo empre. Imob. Ltda</t>
  </si>
  <si>
    <t>Eco rotas construções e cons. Ltda</t>
  </si>
  <si>
    <t>Terrazul sj  spe ltda</t>
  </si>
  <si>
    <t>Trisul joão moura emp. Imob. Spe ltda</t>
  </si>
  <si>
    <t>Construiso  engenharia e emp. Ltda</t>
  </si>
  <si>
    <t>Edimar guimaraes da silva</t>
  </si>
  <si>
    <t>Consorcio Vpf</t>
  </si>
  <si>
    <t>Código_Produto</t>
  </si>
  <si>
    <t>ADUELA  4,00 X 3,00 X 1,00 X 0,30</t>
  </si>
  <si>
    <t>ADUELA 0,60 X 0,60 X 1,00 X 0,15</t>
  </si>
  <si>
    <t>ADUELA 0,80 X 0,80 X 1,00 X 0,10</t>
  </si>
  <si>
    <t>ADUELA 0,80 X 0,80 X 1,00 X 0,15</t>
  </si>
  <si>
    <t>ADUELA 0,80 X 0,80 X 1,00 X 0,20</t>
  </si>
  <si>
    <t>ADUELA 1,00 X 0,60 X 1,00 X 0,15</t>
  </si>
  <si>
    <t>ADUELA 1,00 X 0,60 X 1,00 X 0,20</t>
  </si>
  <si>
    <t>ADUELA 1,00 X 1,00 X 1,00 X 0,15</t>
  </si>
  <si>
    <t>ADUELA 1,00 X 1,00 X 1,00 X 0,20</t>
  </si>
  <si>
    <t>ADUELA 1,00 X 1,40 X 1,00 X 0,15</t>
  </si>
  <si>
    <t>ADUELA 1,00 X 1,50 X 1,00 X 0,15</t>
  </si>
  <si>
    <t>ADUELA 1,00 X 2,00 X 1,00 X 0,15</t>
  </si>
  <si>
    <t>ADUELA 1,10 X 0,80 X 1,00 X 0,20</t>
  </si>
  <si>
    <t>ADUELA 1,10 X 0,90 X 1,00 X 0,20</t>
  </si>
  <si>
    <t>ADUELA 1,10 X 1,80 X 1,00 X 0,15</t>
  </si>
  <si>
    <t>ADUELA 1,20 X 1,20 X 1,00 X 0,15</t>
  </si>
  <si>
    <t>ADUELA 1,20 X 1,20 X 1,00 X 0,20</t>
  </si>
  <si>
    <t>ADUELA 1,20 X 1,30 X 1,00 X 0,15</t>
  </si>
  <si>
    <t>ADUELA 1,20 X 1,90 X 1,00 X 0,15</t>
  </si>
  <si>
    <t>ADUELA 1,20 X 2,00 X 1,00 X 0,15</t>
  </si>
  <si>
    <t>ADUELA 1,20 X 2,20 X 1,00 X 0,20</t>
  </si>
  <si>
    <t>ADUELA 1,30 X 1,30 X 1,00 X 0,15</t>
  </si>
  <si>
    <t>ADUELA 1,30 X 1,80 X 1,00 X 0,15</t>
  </si>
  <si>
    <t>ADUELA 1,40 X 1,00 X 1,00 X 0,20</t>
  </si>
  <si>
    <t>ADUELA 1,40 X 1,30 X 1,00 X 0,20</t>
  </si>
  <si>
    <t>ADUELA 1,50 X 0,50 X 1,00 X 0,15</t>
  </si>
  <si>
    <t>ADUELA 1,50 X 0,80 X 1,00 X 0,20</t>
  </si>
  <si>
    <t>ADUELA 1,50 X 1,00 X 1,00 X 0,15</t>
  </si>
  <si>
    <t>ADUELA 1,50 X 1,00 X 1,00 X 0,20</t>
  </si>
  <si>
    <t>ADUELA 1,50 X 1,20 X 1,00 X 0,15</t>
  </si>
  <si>
    <t>ADUELA 1,50 X 1,40 X 1,00 X 0,15</t>
  </si>
  <si>
    <t>ADUELA 1,50 X 1,50 X 1,00 X 0,15</t>
  </si>
  <si>
    <t>ADUELA 1,50 X 1,50 X 1,00 X 0,18</t>
  </si>
  <si>
    <t>ADUELA 1,50 X 1,50 X 1,00 X 0,20</t>
  </si>
  <si>
    <t>ADUELA 1,50 X 1,50 X 1,00 X 0,30</t>
  </si>
  <si>
    <t>ADUELA 1,50 X 1,50 X 1,00 X 0,30 C / FUNDO</t>
  </si>
  <si>
    <t>ADUELA 1,50 X 1,70 X 1,00 X 0,15</t>
  </si>
  <si>
    <t>ADUELA 1,50 X 2,00 X 1,00 X 0,15</t>
  </si>
  <si>
    <t>ADUELA 1,50 X 2,50 X 1,00 X 0,15</t>
  </si>
  <si>
    <t>ADUELA 1,50 X 3,00 X 1,00 X 0,15</t>
  </si>
  <si>
    <t>ADUELA 1,60 X 0,80 X 1,00 X 0,20</t>
  </si>
  <si>
    <t>ADUELA 1,60 X 1,40 X 1,00 X 0,15</t>
  </si>
  <si>
    <t>ADUELA 1,60 X 1,50 X 1,00 X 0,15</t>
  </si>
  <si>
    <t>ADUELA 1,60 X 1,60 X 1,00 X 0,15</t>
  </si>
  <si>
    <t>ADUELA 1,60 X 1,60 X 1,00 X 0,20</t>
  </si>
  <si>
    <t>ADUELA 1,60 X 1,80 X 1,00 X 0,15</t>
  </si>
  <si>
    <t>ADUELA 1,70 X 1,20 X 1,00 X 0,15</t>
  </si>
  <si>
    <t>ADUELA 1,80 X 0,60 X 1,00 X 0,20</t>
  </si>
  <si>
    <t>ADUELA 1,80 X 1,00 X 1,00 X 0,20</t>
  </si>
  <si>
    <t>ADUELA 1,80 X 1,40 X 1,00 X 0,15</t>
  </si>
  <si>
    <t>ADUELA 1,80 X 1,50 X 1,00 X 0,15</t>
  </si>
  <si>
    <t>ADUELA 1,80 X 1,50 X 1,00 X 0,20</t>
  </si>
  <si>
    <t>ADUELA 1,80 X 1,80 X 1,00 X 0,15</t>
  </si>
  <si>
    <t>ADUELA 1,80 X 1,80 X 1,00 X 0,20</t>
  </si>
  <si>
    <t>ADUELA 1,80 X 3,00 X 1,00 X 0,20</t>
  </si>
  <si>
    <t>ADUELA 1,90 X 1,00 X 1,00 X 0,15</t>
  </si>
  <si>
    <t>ADUELA 2,00 X 0,60 X 1,00 X 0,15</t>
  </si>
  <si>
    <t>ADUELA 2,00 X 0,60 X 1,00 X 0,25</t>
  </si>
  <si>
    <t>ADUELA 2,00 X 1,00 X 1,00 X 0,15</t>
  </si>
  <si>
    <t>ADUELA 2,00 X 1,00 X 1,00 X 0,20</t>
  </si>
  <si>
    <t>ADUELA 2,00 X 1,00 X 1,00 X 0,25</t>
  </si>
  <si>
    <t>ADUELA 2,00 X 1,20 X 1,00 X 0,15</t>
  </si>
  <si>
    <t>ADUELA 2,00 X 1,20 X 1,00 X 0,20</t>
  </si>
  <si>
    <t>ADUELA 2,00 X 1,40 X 1,00 X 0,20</t>
  </si>
  <si>
    <t>ADUELA 2,00 X 1,50 X 1,00 X 0,15</t>
  </si>
  <si>
    <t>ADUELA 2,00 X 1,50 X 1,00 X 0,20</t>
  </si>
  <si>
    <t>ADUELA 2,00 X 1,60 X 1,00 X 0,15</t>
  </si>
  <si>
    <t>ADUELA 2,00 X 1,80 X 1,00 X 0,20</t>
  </si>
  <si>
    <t>ADUELA 2,00 X 1,90 X 1,00 X 0,15</t>
  </si>
  <si>
    <t>ADUELA 2,00 X 2,00 X 1,00 X 0,15</t>
  </si>
  <si>
    <t>ADUELA 2,00 X 2,00 X 1,00 X 0,18</t>
  </si>
  <si>
    <t>ADUELA 2,00 X 2,00 X 1,00 X 0,20</t>
  </si>
  <si>
    <t>ADUELA 2,00 X 2,20 X 1,00 X 0,20</t>
  </si>
  <si>
    <t>ADUELA 2,00 X 2,50 X 1,00 X 0,15</t>
  </si>
  <si>
    <t>ADUELA 2,00 X 2,50 X 1,00 X 0,20</t>
  </si>
  <si>
    <t>ADUELA 2,00 X 2,50 X 1,00 X 0,25</t>
  </si>
  <si>
    <t>ADUELA 2,00 X 3,00 X 1,00 X 0,20</t>
  </si>
  <si>
    <t>ADUELA 2,00 X 3,00 X 1,00 X 0,25</t>
  </si>
  <si>
    <t>ADUELA 2,00 X 3,20 X 1,00 X 0,20</t>
  </si>
  <si>
    <t>ADUELA 2,00 X 4,00 X 1,00 X 0,20</t>
  </si>
  <si>
    <t>ADUELA 2,20 X 1,80 X 1,00 X 0,15</t>
  </si>
  <si>
    <t>ADUELA 2,20 X 1,80 X 1,00 X 0,20</t>
  </si>
  <si>
    <t>ADUELA 2,20 X 2,00 X 1,00 X 0,15</t>
  </si>
  <si>
    <t>ADUELA 2,20 X 2,20 X 1,00 X 0,15</t>
  </si>
  <si>
    <t>ADUELA 2,30 X 1,50 X 1,00 X 0,20</t>
  </si>
  <si>
    <t>ADUELA 2,30 X 1,90 X 1,00 X 0,20</t>
  </si>
  <si>
    <t>ADUELA 2,30 X 2,00 X 1,00 X 0,15</t>
  </si>
  <si>
    <t>ADUELA 2,30 X 2,30 X 1,00 X 0,15</t>
  </si>
  <si>
    <t>ADUELA 2,40 X 1,50 X 1,00 X 0,20</t>
  </si>
  <si>
    <t>ADUELA 2,50 X 1,00 X 1,00 X 0,15</t>
  </si>
  <si>
    <t>ADUELA 2,50 X 1,00 X 1,00 X 0,20</t>
  </si>
  <si>
    <t>ADUELA 2,50 X 1,20 X 1,00 X 0,15</t>
  </si>
  <si>
    <t>ADUELA 2,50 X 1,20 X 1,00 X 0,20</t>
  </si>
  <si>
    <t>ADUELA 2,50 X 1,30 X 1,00 X 0,20</t>
  </si>
  <si>
    <t>ADUELA 2,50 X 1,50 X 1,00 X 0,15</t>
  </si>
  <si>
    <t>ADUELA 2,50 X 1,50 X 1,00 X 0,20</t>
  </si>
  <si>
    <t>ADUELA 2,50 X 1,50 X 1,00 X 0,25</t>
  </si>
  <si>
    <t>ADUELA 2,50 X 1,60 X 1,00 X 0,15</t>
  </si>
  <si>
    <t>ADUELA 2,50 X 1,70 X 1,00 X 0,20</t>
  </si>
  <si>
    <t>ADUELA 2,50 X 1,80 X 1,00 X 0,20</t>
  </si>
  <si>
    <t>ADUELA 2,50 X 1,90 X 1,00 X 0,15</t>
  </si>
  <si>
    <t>ADUELA 2,50 X 1,90 X 1,00 X 0,20</t>
  </si>
  <si>
    <t>ADUELA 2,50 X 2,00 X 1,00 X 0,15</t>
  </si>
  <si>
    <t>ADUELA 2,50 X 2,00 X 1,00 X 0,20</t>
  </si>
  <si>
    <t>ADUELA 2,50 X 2,20 X 1,00 X 0,15</t>
  </si>
  <si>
    <t>ADUELA 2,50 X 2,30 X 1,00 X 0,20</t>
  </si>
  <si>
    <t>ADUELA 2,50 X 2,30 X1,00 X 0,15</t>
  </si>
  <si>
    <t>ADUELA 2,50 X 2,50 X 1,00 X 0,15</t>
  </si>
  <si>
    <t>ADUELA 2,50 X 2,50 X 1,00 X 0,15 C / FUNDO</t>
  </si>
  <si>
    <t>ADUELA 2,50 X 2,50 X 1,00 X 0,18</t>
  </si>
  <si>
    <t>ADUELA 2,50 X 2,50 X 1,00 X 0,20</t>
  </si>
  <si>
    <t>ADUELA 2,50 X 2,50 X 1,00 X 0,25</t>
  </si>
  <si>
    <t>ADUELA 2,50 X 2,80 X 1,00 X 0,20</t>
  </si>
  <si>
    <t>ADUELA 2,50 X 3,00 X 1,00 X 0,15</t>
  </si>
  <si>
    <t>ADUELA 2,50 X 3,00 X 1,00 X 0,20</t>
  </si>
  <si>
    <t>ADUELA 2,50 X 3,00 X 1,00 X 0,25</t>
  </si>
  <si>
    <t>ADUELA 2,50 X 3,50 X 1,00 X 0,20</t>
  </si>
  <si>
    <t>ADUELA 2,50 X 4,00 X 1,00 X 0,20</t>
  </si>
  <si>
    <t>ADUELA 2,60 X 1,00 X 1,00 X 0,15</t>
  </si>
  <si>
    <t>ADUELA 2,60 X 1,50 X 1,00 X 0,20</t>
  </si>
  <si>
    <t>ADUELA 2,60 X 2,60 X 1,00 X 0,20</t>
  </si>
  <si>
    <t>ADUELA 2,60 X 3,00 X 1,00 X 0,20</t>
  </si>
  <si>
    <t>ADUELA 2,70 X 1,50 X 1,00 X 0,20</t>
  </si>
  <si>
    <t>ADUELA 2,70 X 2,00 X 1,00 X 0,20</t>
  </si>
  <si>
    <t>ADUELA 2,70 X 2,50 X 1,00 X 0,15</t>
  </si>
  <si>
    <t>ADUELA 2,70 X 2,50 X 1,00 X 0,20</t>
  </si>
  <si>
    <t>ADUELA 2,80 X 1,50 X 1,00 X 0,20</t>
  </si>
  <si>
    <t>ADUELA 2,80 X 2,00 X 1,00 X 0,15</t>
  </si>
  <si>
    <t>ADUELA 2,90 X 1,50 X 1,00 X 0,20</t>
  </si>
  <si>
    <t>ADUELA 2,90 X 1,60 X 1,00 X 0,20</t>
  </si>
  <si>
    <t>ADUELA 2,90 X 2,90 X 1,00 X 0,20</t>
  </si>
  <si>
    <t>ADUELA 2.50 X 2.00 X 1.00 X 0.15</t>
  </si>
  <si>
    <t>ADUELA 3,00 X 1,00 X 1,00 X 0,15</t>
  </si>
  <si>
    <t>ADUELA 3,00 X 1,00 X 1,00 X 0,20</t>
  </si>
  <si>
    <t>ADUELA 3,00 X 1,20 X 1,00 X 0,18</t>
  </si>
  <si>
    <t>ADUELA 3,00 X 1,20 X 1,00 X 0,20</t>
  </si>
  <si>
    <t>ADUELA 3,00 X 1,20 X 1,00 X 0,25</t>
  </si>
  <si>
    <t>ADUELA 3,00 X 1,50 X 1,00 X 0,15</t>
  </si>
  <si>
    <t>ADUELA 3,00 X 1,50 X 1,00 X 0,18</t>
  </si>
  <si>
    <t>ADUELA 3,00 X 1,50 X 1,00 X 0,20</t>
  </si>
  <si>
    <t>ADUELA 3,00 X 1,70 X 1,00 X 0,20</t>
  </si>
  <si>
    <t>ADUELA 3,00 X 1,80 X 1,00 X 0,20</t>
  </si>
  <si>
    <t>ADUELA 3,00 X 1,80 X 1,00 X 0,25</t>
  </si>
  <si>
    <t>ADUELA 3,00 X 2,00 X 1,00 X 0,15</t>
  </si>
  <si>
    <t>ADUELA 3,00 X 2,00 X 1,00 X 0,18</t>
  </si>
  <si>
    <t>ADUELA 3,00 X 2,00 X 1,00 X 0,20</t>
  </si>
  <si>
    <t>ADUELA 3,00 X 2,00 X 1,00 X 0,25</t>
  </si>
  <si>
    <t>ADUELA 3,00 X 2,00 X 1,00 X 0,30</t>
  </si>
  <si>
    <t>ADUELA 3,00 X 2,20 X 1,00 X 0,20</t>
  </si>
  <si>
    <t>ADUELA 3,00 X 2,40 X 1,00 X 0,20</t>
  </si>
  <si>
    <t>ADUELA 3,00 X 2,50 X 1,00 X 0,18</t>
  </si>
  <si>
    <t>ADUELA 3,00 X 2,50 X 1,00 X 0,20</t>
  </si>
  <si>
    <t>ADUELA 3,00 X 2,50 X 1,00 X 0,25</t>
  </si>
  <si>
    <t>ADUELA 3,00 X 2,50 X 1,00 X 0,30</t>
  </si>
  <si>
    <t>ADUELA 3,00 X 3,00 X 1,00 X 0,20</t>
  </si>
  <si>
    <t>ADUELA 3,00 X 3,00 X 1,00 X 0,22</t>
  </si>
  <si>
    <t>ADUELA 3,00 X 3,00 X 1,00 X 0,25</t>
  </si>
  <si>
    <t>ADUELA 3,00 X 3,00 X 1,00 X 0,30</t>
  </si>
  <si>
    <t>ADUELA 3,00 X 3,50 X 1,00 X 0,20</t>
  </si>
  <si>
    <t>ADUELA 3,00 X 3,50 X 1,00 X 0,25</t>
  </si>
  <si>
    <t>ADUELA 3,00 X 4,50 X 1,00 X 0,20</t>
  </si>
  <si>
    <t>ADUELA 3,20 X 1,20 X 1,00 X 0,18</t>
  </si>
  <si>
    <t>ADUELA 3,20 X 1,60 X 1,00 X 0,20</t>
  </si>
  <si>
    <t>ADUELA 3,20 X 2,50 X 1,00 X 0,20</t>
  </si>
  <si>
    <t>ADUELA 3,20 X 3,20 X 1,00 X 0,20</t>
  </si>
  <si>
    <t>ADUELA 3,30 X 2,00 X 1,00 X 0,20</t>
  </si>
  <si>
    <t>ADUELA 3,40 X 1,20 X 1,00 X 0,20</t>
  </si>
  <si>
    <t>ADUELA 3,40 X 4,50 X 1,00 X 0,20</t>
  </si>
  <si>
    <t>ADUELA 3,50 X 1,00 X 1,00 X 0,20</t>
  </si>
  <si>
    <t>ADUELA 3,50 X 1,20 X 1,00 X 0,20</t>
  </si>
  <si>
    <t>ADUELA 3,50 X 1,50 X 1,00 X 0,20</t>
  </si>
  <si>
    <t>ADUELA 3,50 X 1,50 X 1,00 X 0,25</t>
  </si>
  <si>
    <t>ADUELA 3,50 X 1,60 X 1,00 X 0,20</t>
  </si>
  <si>
    <t>ADUELA 3,50 X 1,80 X 1,00 X 0,20</t>
  </si>
  <si>
    <t>ADUELA 3,50 X 2,00 X 1,00 X 0,18</t>
  </si>
  <si>
    <t>ADUELA 3,50 X 2,00 X 1,00 X 0,20</t>
  </si>
  <si>
    <t>ADUELA 3,50 X 2,50 X 1,00 X 0,18</t>
  </si>
  <si>
    <t>ADUELA 3,50 X 2,50 X 1,00 X 0,20</t>
  </si>
  <si>
    <t>ADUELA 3,50 X 2,50 X 1,00 X 0,25</t>
  </si>
  <si>
    <t>ADUELA 3,50 X 3,00 X 1,00 X 0,20</t>
  </si>
  <si>
    <t>ADUELA 3,50 X 3,00 X 1,00 X 0,25</t>
  </si>
  <si>
    <t>ADUELA 3,50 X 3,20 X 1,00 X 0,20</t>
  </si>
  <si>
    <t>ADUELA 3,50 X 3,50 X 1,00 X 0,20</t>
  </si>
  <si>
    <t>ADUELA 3,50 X 3,50 X 1,00 X 0,25</t>
  </si>
  <si>
    <t>ADUELA 3,50 X 3,50 X 1,00 X 0,28</t>
  </si>
  <si>
    <t>ADUELA 3,50 X 3,50 X 1,00 X 0,30</t>
  </si>
  <si>
    <t>ADUELA 3,50 X 4,00 X 1,00 X 0,20</t>
  </si>
  <si>
    <t>ADUELA 3,60 X 1,70 X 1,00 X 0,20</t>
  </si>
  <si>
    <t>ADUELA 4,00 X 1,00 X 1,00 X 0,20</t>
  </si>
  <si>
    <t>ADUELA 4,00 X 1,20 X 1,00 X 0,18</t>
  </si>
  <si>
    <t>ADUELA 4,00 X 1,50 X 1,00 X 0,20</t>
  </si>
  <si>
    <t>ADUELA 4,00 X 1,50 X 1,00 X 0,25</t>
  </si>
  <si>
    <t>ADUELA 4,00 X 2,00 X 1,00 X 0,20</t>
  </si>
  <si>
    <t>ADUELA 4,00 X 2,20 X 1,00 X 0,20</t>
  </si>
  <si>
    <t>ADUELA 4,00 X 2,50 X 1,00 X 0,20</t>
  </si>
  <si>
    <t>ADUELA 4,00 X 2,50 X 1,00 X 0,25</t>
  </si>
  <si>
    <t>ADUELA 4,00 X 3,00 X 1,00 X 0,20</t>
  </si>
  <si>
    <t>ADUELA 4,00 X 3,00 X 1,00 X 0,25</t>
  </si>
  <si>
    <t>ADUELA 4,00 X 3,10 X 1,00 X 0,20</t>
  </si>
  <si>
    <t>ADUELA 4,00 X 3,50 X 1,00 X 0,25</t>
  </si>
  <si>
    <t>ADUELA 4,00 X 3,60 X 1,00 X 0,25</t>
  </si>
  <si>
    <t>ADUELA 4,00 X 3,80 X 1,00 X 0,25</t>
  </si>
  <si>
    <t>ADUELA 4,00 X 4,00 X 1,00 X 0,20</t>
  </si>
  <si>
    <t>ADUELA 4,00 X 4,00 X 1,00 X 0,25</t>
  </si>
  <si>
    <t>ADUELA 4,00 X 5,00 X 1,00 X 0,27</t>
  </si>
  <si>
    <t>ADUELA 4,10 X 2,20 X 1,00 X 0,18</t>
  </si>
  <si>
    <t>ADUELA 4,20 X 1,00 X 1,00 X 0,18</t>
  </si>
  <si>
    <t>ADUELA 4,30 X 2,30 X 1,00 X 0,20</t>
  </si>
  <si>
    <t>ADUELA 4,50 X 2,00 X 1,00 X 0,20</t>
  </si>
  <si>
    <t>ADUELA 4,50 X 2,00 X 1,00 X 0,25</t>
  </si>
  <si>
    <t>ADUELA 4,50 X 2,20 X 1,00 X 0,25</t>
  </si>
  <si>
    <t>ADUELA 4,50 X 2,50 X 1,00 X 0,30</t>
  </si>
  <si>
    <t>ADUELA 4,50 X 3,00 X 1,00 X 0,20</t>
  </si>
  <si>
    <t>ADUELA 4,50 X 3,00 X 1,00 X 0,25</t>
  </si>
  <si>
    <t>ADUELA 4,50 X 4,50 X 1,00 X 0,25</t>
  </si>
  <si>
    <t>ADUELA 4,50 X 5,00 X 1,00 X 0,25</t>
  </si>
  <si>
    <t>ADUELA 4,50X 2,00 X 1,00 X 0,30</t>
  </si>
  <si>
    <t>ADUELA 5,00 X 1,50 X 1,00 X 0,25 BI PARTIDA</t>
  </si>
  <si>
    <t>ADUELA 5,00 X 2,50 X 1,00 X 0,25</t>
  </si>
  <si>
    <t>ADUELA 5,00 X 2,50 X 1,00 X 0,30</t>
  </si>
  <si>
    <t>ADUELA 5,10 X 1,80 X 1,00 X 0,20</t>
  </si>
  <si>
    <t>ADUELA 5,40 X 3,00 X 1,00 X 0,20</t>
  </si>
  <si>
    <t>ADUELA 5,50 X 3,00 X 1,00 X 0,30</t>
  </si>
  <si>
    <t>ADUELA 6,00 X 2,50 X 1,00 X 0,30</t>
  </si>
  <si>
    <t>ADUELA 6,00 X 3,60 X 1,00 X 0,30</t>
  </si>
  <si>
    <t>ADUELAS</t>
  </si>
  <si>
    <t>ANEL DE CONCRETO P/PV/PI 1000 X 400</t>
  </si>
  <si>
    <t>ANEL DE CONCRETO P/PV/PI 600 X 400</t>
  </si>
  <si>
    <t>BOCA DE LOBO DUPLA 2,20 X 0,60 X 0,10</t>
  </si>
  <si>
    <t>BOCA DE LOBO SIMPLES 1,00 X 0,60 X 0,10</t>
  </si>
  <si>
    <t>BOCA DE LOBO TRIPLA 3,20X0,60X1,0X0,10</t>
  </si>
  <si>
    <t>CAIXA CONCR. ARM. 1,60 X 1,60 X 1,20 X 0,10</t>
  </si>
  <si>
    <t>CAIXA CONCR.ARM 1,00X1,00X1,00X0,10</t>
  </si>
  <si>
    <t>CAIXA CONCR.ARM 1,20X1,20X1,20X0,10</t>
  </si>
  <si>
    <t>CAIXA CONCR.ARM 1,40X1,40X1,40X0,10</t>
  </si>
  <si>
    <t>CAIXA CONCR.ARM 1,60X1,60X1,60X0,10</t>
  </si>
  <si>
    <t>CAIXA DE CONCR.ARM 1,40X1,40X1,20X0,10</t>
  </si>
  <si>
    <t>CAIXA PROL.CONCR.ARM 1,60X1,60X1,00X0,10</t>
  </si>
  <si>
    <t>CANALETA  MEIA CANA PRE MOLD. 1000 X 1000</t>
  </si>
  <si>
    <t>CANALETA  MEIA CANA PRE MOLD. 300 X 1000</t>
  </si>
  <si>
    <t>CANALETA  MEIA CANA PRE MOLD. 400 X 1000</t>
  </si>
  <si>
    <t>CANALETA  MEIA CANA PRE MOLD. 500 X 1000</t>
  </si>
  <si>
    <t>CANALETA  MEIA CANA PRE MOLD. 600 X 1000</t>
  </si>
  <si>
    <t>CANALETA  MEIA CANA PRE MOLD. 800 X 1000</t>
  </si>
  <si>
    <t>GUIA CHAPEU</t>
  </si>
  <si>
    <t>GUIA RETA PADRAO PMSP</t>
  </si>
  <si>
    <t>LAJE  3,30 X 1,90 X 0,20</t>
  </si>
  <si>
    <t>LAJE  3,60 X 2,00 X 0,25</t>
  </si>
  <si>
    <t>LAJE  P/PV 1,18 SUPERIOR</t>
  </si>
  <si>
    <t>LAJE 1,20 X 1,20 X 0,15</t>
  </si>
  <si>
    <t>LAJE 1,20 X 1,20 X 0,20</t>
  </si>
  <si>
    <t>LAJE 1,30 X 1,00 X 0,15</t>
  </si>
  <si>
    <t>LAJE 1,30 X 1,30 X 0,20</t>
  </si>
  <si>
    <t>LAJE 1,40 X 1,40 X 0,15</t>
  </si>
  <si>
    <t>LAJE 1,40 X 1,40 X 0,20</t>
  </si>
  <si>
    <t>LAJE 1,50 X 1,50 X 0,15</t>
  </si>
  <si>
    <t>LAJE 1,50 X 1,50 X 0,20</t>
  </si>
  <si>
    <t>LAJE 1,50 X 1,60 X 0,20</t>
  </si>
  <si>
    <t>LAJE 1,60 X 1,60 X 0,15</t>
  </si>
  <si>
    <t>LAJE 1,60 X 1,60 X 0,20</t>
  </si>
  <si>
    <t>LAJE 1,80 X 1,80 X 0,12</t>
  </si>
  <si>
    <t>LAJE 1,80 X 1,80 X 0,15</t>
  </si>
  <si>
    <t>LAJE 1,80 X 3,60 X 0,20</t>
  </si>
  <si>
    <t>LAJE 1,90 X 1,00 X 0,20 C/ FURO 5CM P/ PVC</t>
  </si>
  <si>
    <t>LAJE 1,90 X 1,90 X 0,20</t>
  </si>
  <si>
    <t>LAJE 1.80 X 1,80 X 0,20 C/ FURO</t>
  </si>
  <si>
    <t>LAJE 2,20 X 1,00 X 0,20 C/ FURO 5CM P/ PVC</t>
  </si>
  <si>
    <t>LAJE 2,20 X 1,90 X 0,20</t>
  </si>
  <si>
    <t>LAJE 2,30 X 1,00 X 0,20</t>
  </si>
  <si>
    <t>LAJE 2,30 X 1,80 X 0,20</t>
  </si>
  <si>
    <t>LAJE 2,30 X 1,90 X 0,20</t>
  </si>
  <si>
    <t>LAJE 2,30 X 2,20 X 0,20</t>
  </si>
  <si>
    <t>LAJE 2,30 X 2,30 X 0,20</t>
  </si>
  <si>
    <t>LAJE 2,40 X 1,00 X 0,20</t>
  </si>
  <si>
    <t>LAJE 2,40 X 1,40 X 0,20</t>
  </si>
  <si>
    <t>LAJE 2,40 X 1,90 X 0,20</t>
  </si>
  <si>
    <t>LAJE 2,40 X 2,20 X 0,20</t>
  </si>
  <si>
    <t>LAJE 2,40 X 2,40 X 0,20</t>
  </si>
  <si>
    <t>LAJE 2,50 X 1,90 X 0,20</t>
  </si>
  <si>
    <t>LAJE 2,60 X 1,00 X 0,20</t>
  </si>
  <si>
    <t>LAJE 2,60 X 2,20 X 0,20</t>
  </si>
  <si>
    <t>LAJE 2,60 X 2,30 X 0,25</t>
  </si>
  <si>
    <t>LAJE 2,70 X 1,00 X 0,25</t>
  </si>
  <si>
    <t>LAJE 2,80 X 1,00 X 0,20</t>
  </si>
  <si>
    <t>LAJE 2,80 X 1,80 X 0,20</t>
  </si>
  <si>
    <t>LAJE 2,80 X 1,80 X 0,25</t>
  </si>
  <si>
    <t>LAJE 2,80 X 1,90 X 0,20</t>
  </si>
  <si>
    <t>LAJE 2,80 X 2,30 X 0,20</t>
  </si>
  <si>
    <t>LAJE 2,80 X 2,60 X 0,25</t>
  </si>
  <si>
    <t>LAJE 2,80 X 2,80 X 0,20</t>
  </si>
  <si>
    <t>LAJE 2,80 X 2,80 X 0,25</t>
  </si>
  <si>
    <t>LAJE 2,90 X 1,00 X 0,20 C/ FURO 5CM P/ PVC</t>
  </si>
  <si>
    <t>LAJE 2,90 X 1,40 X 0,20</t>
  </si>
  <si>
    <t>LAJE 2,90 X 1,90 X 0,20</t>
  </si>
  <si>
    <t>LAJE 2,90 X 2,10X 0,20</t>
  </si>
  <si>
    <t>LAJE 2,90 X 2,20 X 0,20</t>
  </si>
  <si>
    <t>LAJE 2,90 X 2,30 X 0,25</t>
  </si>
  <si>
    <t>LAJE 2.90 X 2.40 X 0.20</t>
  </si>
  <si>
    <t>LAJE 3,00 X 1,90 X 0,20</t>
  </si>
  <si>
    <t>LAJE 3,00 X 1,90 X 0,25</t>
  </si>
  <si>
    <t>LAJE 3,00 X 2,60 X 0,25</t>
  </si>
  <si>
    <t>LAJE 3,20 X 1,90 X 0,20</t>
  </si>
  <si>
    <t>LAJE 3,30 X 1,90 X 0,25</t>
  </si>
  <si>
    <t>LAJE 3,30 X 2,50 X 0,25</t>
  </si>
  <si>
    <t>LAJE 3,30 X 2,60 X 0,25</t>
  </si>
  <si>
    <t>LAJE 3,40 X 1,00 X 0,25</t>
  </si>
  <si>
    <t>LAJE 3,40 X 1,90 X 0,20</t>
  </si>
  <si>
    <t>LAJE 3,40 X 1,90 X 0,25</t>
  </si>
  <si>
    <t>LAJE 3,40 X 2,10 X 0,20</t>
  </si>
  <si>
    <t>LAJE 3,40 X 2,40 X 0,20</t>
  </si>
  <si>
    <t>LAJE 3,40 X 2,60 X 0,20</t>
  </si>
  <si>
    <t>LAJE 3,50 X 1,00 X 0,30</t>
  </si>
  <si>
    <t>LAJE 3,60 X 2,00 X 0,20</t>
  </si>
  <si>
    <t>LAJE 3,80 X 1,90 X 0,20</t>
  </si>
  <si>
    <t>LAJE 3,80 X 2,30 X 0,25</t>
  </si>
  <si>
    <t>LAJE 3,80 X 2,80 X 0,25</t>
  </si>
  <si>
    <t>LAJE 3,90 X 2,00 X 0,20</t>
  </si>
  <si>
    <t>LAJE 3,90 X 2,00 X 0,25</t>
  </si>
  <si>
    <t>LAJE 3,90 X 2,40 X 0,20</t>
  </si>
  <si>
    <t>LAJE 4,00 X 2,00 X 0,25</t>
  </si>
  <si>
    <t>LAJE 4,30 X 2,80 X 0,25</t>
  </si>
  <si>
    <t>LAJE 4,40 X 2,90 X 0,20</t>
  </si>
  <si>
    <t>LAJE 4,40 X 3,50 X 0,20</t>
  </si>
  <si>
    <t>LAJE 4,60 X 1,00 X 0,30</t>
  </si>
  <si>
    <t>LAJE 4,90 X 2,40 X 0,20</t>
  </si>
  <si>
    <t>LAJE 4,90 X 2,40 X 0,25</t>
  </si>
  <si>
    <t>LAJE 4.40 X 1.90 X 0.20</t>
  </si>
  <si>
    <t>LAJE 4.40 X 2.40 X 0.20</t>
  </si>
  <si>
    <t>LAJE 6,60 X1,00 X 0,30</t>
  </si>
  <si>
    <t>LAJE BOCA DE LOBO 1,10X0,70X0,08</t>
  </si>
  <si>
    <t>LAJE DN. 2,30 X 0,15</t>
  </si>
  <si>
    <t>LAJE INF.P/PI  920</t>
  </si>
  <si>
    <t>LAJE INF.P/PV  1.26</t>
  </si>
  <si>
    <t>LAJE INF.P/PV 1.48</t>
  </si>
  <si>
    <t>LAJE INFERIOR 1740</t>
  </si>
  <si>
    <t>LAJE REDONDA 2,30 X 0,20 MM</t>
  </si>
  <si>
    <t>LAJE SUP. P/PI  920 C/FURO</t>
  </si>
  <si>
    <t>LAJE SUP. P/PV 1.36 C/FURO</t>
  </si>
  <si>
    <t>LAJE SUP.P/PV 1740</t>
  </si>
  <si>
    <t>NEW JERSEY DUPLA 1,00</t>
  </si>
  <si>
    <t>NEW JERSEY DUPLA 1,50</t>
  </si>
  <si>
    <t>NEW JERSEY SIMPLES 1,00</t>
  </si>
  <si>
    <t>NEW JERSEY SIMPLES 1,50</t>
  </si>
  <si>
    <t>PERFIL "L" 3,30 X 2,10 X 1,00 X 0,30</t>
  </si>
  <si>
    <t>PERFIL L  1,00 X 1,00 X 1,00 X 0,15</t>
  </si>
  <si>
    <t>PERFIL L  1,00 X 2,00 X 1,00 X 0,20</t>
  </si>
  <si>
    <t>PERFIL L  1,00 X 3,00 X 1,00 X 0,20</t>
  </si>
  <si>
    <t>PERFIL L  1,20 X 2,00 X 1,00 X 0,20</t>
  </si>
  <si>
    <t>PERFIL L  1,20 X 3,00 X 1,00 X 0,25</t>
  </si>
  <si>
    <t>PERFIL L  1,25 X 3,00 X 1,00 X 0,25</t>
  </si>
  <si>
    <t>PERFIL L  1,50 X 1,00 X 1,00 X 0,20</t>
  </si>
  <si>
    <t>PERFIL L  1,50 X 1,50 X 1,00 X 0,15</t>
  </si>
  <si>
    <t>PERFIL L  1,50 X 1,50 X 1,00 X 0,20</t>
  </si>
  <si>
    <t>PERFIL L  1,50 X 2,00 X 1,00 X 0,15</t>
  </si>
  <si>
    <t>PERFIL L  1,50 X 2,00 X 1,00 X 0,20</t>
  </si>
  <si>
    <t>PERFIL L  1,50 X 2,30 X 1,00 X 0,20</t>
  </si>
  <si>
    <t>PERFIL L  1,50 X 2,50 X 1,00 X 0,15</t>
  </si>
  <si>
    <t>PERFIL L  1,50 X 2,50 X 1,00 X 0,18</t>
  </si>
  <si>
    <t>PERFIL L  1,50 X 2,50 X 1,00 X 0,25</t>
  </si>
  <si>
    <t>PERFIL L  1,50 X 2,60 X 1,00 X 0,30</t>
  </si>
  <si>
    <t>PERFIL L  1,50 X 3,00 X 1,00 X 0,25</t>
  </si>
  <si>
    <t>PERFIL L  1,50 X 3,20 X 1,00 X 0,20</t>
  </si>
  <si>
    <t>PERFIL L  1,50 X 3,20 X 1,00 X 0,25</t>
  </si>
  <si>
    <t>PERFIL L  1,50 X 3,50 X 1,00 X 0,20</t>
  </si>
  <si>
    <t>PERFIL L  1,50 X 3,50 X 1,00 X 0,25</t>
  </si>
  <si>
    <t>PERFIL L  1,75 X 2,50 X 1,00 X 0,20</t>
  </si>
  <si>
    <t>PERFIL L  1,80 X 2,00 X 1,00 X 0,20</t>
  </si>
  <si>
    <t>PERFIL L  2,00 X 1,50 X 1,00 X 0,20</t>
  </si>
  <si>
    <t>PERFIL L  2,00 X 1,60 X 1,00 X 0,20</t>
  </si>
  <si>
    <t>PERFIL L  2,00 X 1,70 X 1,00 X 0,15</t>
  </si>
  <si>
    <t>PERFIL L  2,00 X 2,00 X 1,00 X 0,25</t>
  </si>
  <si>
    <t>PERFIL L  2,00 X 2,50 X 1,00 X 0,20</t>
  </si>
  <si>
    <t>PERFIL L  2,00 X 2,50 X 1,00 X 0,25</t>
  </si>
  <si>
    <t>PERFIL L  2,00 X 3,00 X 1,00 X 0,20</t>
  </si>
  <si>
    <t>PERFIL L  2,00 X 3,00 X 1,00 X 0,25</t>
  </si>
  <si>
    <t>PERFIL L  2,00 X 4,00 X 1,00 X 0,25</t>
  </si>
  <si>
    <t>PERFIL L  2,40 X 2,50 X 1,00 X 0,25</t>
  </si>
  <si>
    <t>PERFIL L  2,40 X 3,50 X 1,00 X 0,25</t>
  </si>
  <si>
    <t>PERFIL L  2,50 X 1,20 X 1,00 X 0,25</t>
  </si>
  <si>
    <t>PERFIL L  2,50 X 1,50 X 1,00 X 0,20</t>
  </si>
  <si>
    <t>PERFIL L  2,50 X 2,00 X 1,00 X 0,30</t>
  </si>
  <si>
    <t>PERFIL L  2,50 X 2,50 X 1,00 X 0,20</t>
  </si>
  <si>
    <t>PERFIL L  2,50 X 2,50 X 1,00 X 0,25</t>
  </si>
  <si>
    <t>PERFIL L  2,50 X 3,20 X 1,00 X 0,30</t>
  </si>
  <si>
    <t>PERFIL L  3,00 X 2,50 X 1,00 X 0,25</t>
  </si>
  <si>
    <t>PERFIL L  3,30 X 2,45 X 1,00 X 0,25</t>
  </si>
  <si>
    <t>PERFIL L  4,70 X 2,00 X 1,00 X 0,20</t>
  </si>
  <si>
    <t>PERFIL L 0,80 X 0,80 X 1,00 X 0,20</t>
  </si>
  <si>
    <t>PERFIL L 0,80 X 2,00 X 1,00 X 0,20</t>
  </si>
  <si>
    <t>PERFIL L 1,50 X 2,05 X 1,00 X 0,25</t>
  </si>
  <si>
    <t>PERFIL L 1,75 X 2,00 X 1,00 X 0,15</t>
  </si>
  <si>
    <t>PERFIL L 1,75 X 3,00 X 1,00 X 0,25</t>
  </si>
  <si>
    <t>PERFIL L 2,25 X 2,00 X 1,00 X 0,15</t>
  </si>
  <si>
    <t>PERFIL L 2,40 X 4,15 X 1,00 X 0,25</t>
  </si>
  <si>
    <t>PERFIL L 2,50 X  2,45 X 1,00 X 0,25</t>
  </si>
  <si>
    <t>PERFIL L 2,75 X 2,00 X 1,00 X 0,18</t>
  </si>
  <si>
    <t>PERFIL L 3.15 X 1,20 X 1,00 X 0,15</t>
  </si>
  <si>
    <t>PERFIL L 4.60 X 2,50 X 1,00 X 0,30</t>
  </si>
  <si>
    <t>PERFIL U  0,40 X 0,30 X 1,00 X 0,15</t>
  </si>
  <si>
    <t>PERFIL U  0,40 X 0,40 X 1,00 X 0,10</t>
  </si>
  <si>
    <t>PERFIL U  0,40 X 0,40 X 1,00 X 0,15</t>
  </si>
  <si>
    <t>PERFIL U  0,40 X 0,50 X 1,00 X 0,15</t>
  </si>
  <si>
    <t>PERFIL U  0,40 X 0,60 X 1,00 X 0,15</t>
  </si>
  <si>
    <t>PERFIL U  0,50 X 0,75 X 1,00 X 0,15</t>
  </si>
  <si>
    <t>PERFIL U  0,60 X 0,30 X 1,00 X 0,15</t>
  </si>
  <si>
    <t>PERFIL U  0,60 X 0,40 X 1,00 X 0,15</t>
  </si>
  <si>
    <t>PERFIL U  0,60 X 0,50 X 1,00 X 0,15</t>
  </si>
  <si>
    <t>PERFIL U  0,60 X 0,60 X 1,00 X 0,10</t>
  </si>
  <si>
    <t>PERFIL U  0,60 X 0,60 X 1,00 X 0,15</t>
  </si>
  <si>
    <t>PERFIL U  0,60 X 0,80 X 1,00 X 0,15</t>
  </si>
  <si>
    <t>PERFIL U  0,60 X 1,20 X 1,00 X 0,15</t>
  </si>
  <si>
    <t>PERFIL U  0,80 X 0,40 X 1,00 X 0,15</t>
  </si>
  <si>
    <t>PERFIL U  0,80 X 0,50 X 1,00 X 0,10</t>
  </si>
  <si>
    <t>PERFIL U  0,80 X 0,50 X 1,00 X 0,15</t>
  </si>
  <si>
    <t>PERFIL U  0,80 X 0,60 X 1,00 X 0,15</t>
  </si>
  <si>
    <t>PERFIL U  0,80 X 0,70 X 1,00 X 0,15</t>
  </si>
  <si>
    <t>PERFIL U  0,80 X 0,80 X 1,00 X 0,10</t>
  </si>
  <si>
    <t>PERFIL U  0,80 X 0,90 X 1,00 X 0,15</t>
  </si>
  <si>
    <t>PERFIL U  0,80 X 1,00 X 1,00 X 0,15</t>
  </si>
  <si>
    <t>PERFIL U  0,80 X 1,10 X 1,00 X 0,15</t>
  </si>
  <si>
    <t>PERFIL U  1,00 X 0,50 X 1,00 X 0,10</t>
  </si>
  <si>
    <t>PERFIL U  1,00 X 0,60 X 1,00 X 0,15</t>
  </si>
  <si>
    <t>PERFIL U  1,00 X 1,10 X 1,00 X 0,15</t>
  </si>
  <si>
    <t>PERFIL U  1,10 X 0,80 X 1,00 X 0,15</t>
  </si>
  <si>
    <t>PERFIL U  1,10 X 0,90 X 1,00 X 0,15</t>
  </si>
  <si>
    <t>PERFIL U  1,10 X 1,40 X 1,00 X 0,15</t>
  </si>
  <si>
    <t>PERFIL U  1,20 X 0,60 X 1,00 X 0,10</t>
  </si>
  <si>
    <t>PERFIL U  1,20 X 1,00 X 1,00 X 0,15</t>
  </si>
  <si>
    <t>PERFIL U  1,20 X 1,20 X 1,00 X 0,15</t>
  </si>
  <si>
    <t>PERFIL U  1,50 X 0,50 X 1,00 X 0,15</t>
  </si>
  <si>
    <t>PERFIL U  1,50 X 0,60 X 1,00 X 0,20</t>
  </si>
  <si>
    <t>PERFIL U  1,50 X 1,00 X 1,00 X 0,20</t>
  </si>
  <si>
    <t>PERFIL U  1,50 X 1,20 X 1,00 X 0,15</t>
  </si>
  <si>
    <t>PERFIL U  1,50 X 1,50 X 1,00 X 0,15</t>
  </si>
  <si>
    <t>PERFIL U  1,50 X 1,50 X 1,00 X 0,20</t>
  </si>
  <si>
    <t>PERFIL U  1,70 X 1,85 X 1,00 X 0,15</t>
  </si>
  <si>
    <t>PERFIL U  1,80 X 0,55 X 1,00 X 0,20</t>
  </si>
  <si>
    <t>PERFIL U  1,80 X 0,85 X 1,00 X 0,15</t>
  </si>
  <si>
    <t>PERFIL U  1,80 X 1,00 X 1,00 X 0,15</t>
  </si>
  <si>
    <t>PERFIL U  2,00 X 0,95 X 1,00 X 0,20</t>
  </si>
  <si>
    <t>PERFIL U  2,00 X 1,00 X 1,00 X 0,15</t>
  </si>
  <si>
    <t>PERFIL U  2,00 X 1,00 X 1,00 X 0,20</t>
  </si>
  <si>
    <t>PERFIL U  2,00 X 1,20 X 1,00 X 0,20</t>
  </si>
  <si>
    <t>PERFIL U  2,00 X 1,40 X 1,00 X 0,15</t>
  </si>
  <si>
    <t>PERFIL U  2,00 X 1,40 X 1,00 X 0,20</t>
  </si>
  <si>
    <t>PERFIL U  2,00 X 1,50 X 1,00 X 0,15</t>
  </si>
  <si>
    <t>PERFIL U  2,00 X 1,50 X 1,00 X 0,20</t>
  </si>
  <si>
    <t>PERFIL U  2,00 X 1,70 X 1,00 X 0,20</t>
  </si>
  <si>
    <t>PERFIL U  2,00 X 1,80 X 1,00 X 0,20</t>
  </si>
  <si>
    <t>PERFIL U  2,00 X 2,00 X 1,00 X 0,15</t>
  </si>
  <si>
    <t>PERFIL U  2,00 X 2,00 X 1,00 X 0,18</t>
  </si>
  <si>
    <t>PERFIL U  2,00 X 2,00 X 1,00 X 0,20</t>
  </si>
  <si>
    <t>PERFIL U  2,00 X 2,00 X 1,00 X 0,25</t>
  </si>
  <si>
    <t>PERFIL U  2,00 X 2,10 X 1,00 X 0,15</t>
  </si>
  <si>
    <t>PERFIL U  2,00 X 2,20 X 1,00 X 0,20</t>
  </si>
  <si>
    <t>PERFIL U  2,00 X 3,00 X 1,00 X 0,20</t>
  </si>
  <si>
    <t>PERFIL U  2,00 X 3,20 X 1,00 X 0,20</t>
  </si>
  <si>
    <t>PERFIL U  2,30 X 1,80 X 1,00 X 0,20</t>
  </si>
  <si>
    <t>PERFIL U  2,50 X 0,65 X 1,00 X 0,20</t>
  </si>
  <si>
    <t>PERFIL U  2,50 X 0,80 X 1,00 X 0,20</t>
  </si>
  <si>
    <t>PERFIL U  2,50 X 1,00 X 1,00 X 0,20</t>
  </si>
  <si>
    <t>PERFIL U  2,50 X 1,50 X 1,00 X 0,20</t>
  </si>
  <si>
    <t>PERFIL U  2,50 X 1,80 X 1,00 X 0,20</t>
  </si>
  <si>
    <t>PERFIL U  2,50 X 2,00 X 1,00 X 0,20</t>
  </si>
  <si>
    <t>PERFIL U  2,50 X 2,00 X 1,00 X 0,25</t>
  </si>
  <si>
    <t>PERFIL U  2,50 X 2,20 X 1,00 X 0,15</t>
  </si>
  <si>
    <t>PERFIL U  2,80 X 2,80 X 1,00 X 0,22</t>
  </si>
  <si>
    <t>PERFIL U  3,00 X 1,00 X 1,00 X 0,20</t>
  </si>
  <si>
    <t>PERFIL U  3,00 X 1,10 X 1,00 X 0,20</t>
  </si>
  <si>
    <t>PERFIL U  3,00 X 1,20 X 1,00 X 0,15</t>
  </si>
  <si>
    <t>PERFIL U  3,00 X 1,30 X 1,00 X 0,30</t>
  </si>
  <si>
    <t>PERFIL U  3,00 X 1,70 X 1,00 X 0,20</t>
  </si>
  <si>
    <t>PERFIL U  3,00 X 2,00 X 1,00 X 0,20</t>
  </si>
  <si>
    <t>PERFIL U  3,00 X 2,00 X 1,00 X 0,25</t>
  </si>
  <si>
    <t>PERFIL U  3,00 X 2,10 X 1,00 X 0,20</t>
  </si>
  <si>
    <t>PERFIL U  3,00 X 2,15 X 1,00 X 0,15</t>
  </si>
  <si>
    <t>PERFIL U  3,00 X 2,20 X 1,00 X 0,20</t>
  </si>
  <si>
    <t>PERFIL U  3,00 X 2,50 X 1,00 X 0,20</t>
  </si>
  <si>
    <t>PERFIL U  3,00 X 3,00 X 1,00 X 0,30</t>
  </si>
  <si>
    <t>PERFIL U  3,20 X 1,00 X 1,00 X 0,20</t>
  </si>
  <si>
    <t>PERFIL U  3,20 X 1,70 X 1,00 X 0,25</t>
  </si>
  <si>
    <t>PERFIL U  3,20 X 2,00 X 1,00 X 0,25</t>
  </si>
  <si>
    <t>PERFIL U  3,20 X 3,20 X 1,00 X 0,20</t>
  </si>
  <si>
    <t>PERFIL U  3,50 X 1,50 X 1,00 X 0,20</t>
  </si>
  <si>
    <t>PERFIL U  3,50 X 2,00 X 1,00 X 0,25</t>
  </si>
  <si>
    <t>PERFIL U  3,50 X 2,50 X 1,00 X 0,25</t>
  </si>
  <si>
    <t>PERFIL U  3,50 X 3,50 X 1,00 X 0,30</t>
  </si>
  <si>
    <t>PERFIL U  4,00 X 1,50 X 1,00 X 0,25</t>
  </si>
  <si>
    <t>PERFIL U  4,00 X 1,60 X 1,00 X 0,20</t>
  </si>
  <si>
    <t>PERFIL U  4,00 X 2,00 X 1,00 X 0,20</t>
  </si>
  <si>
    <t>PERFIL U  4,00 X 2,00 X 1,00 X 0,25</t>
  </si>
  <si>
    <t>PERFIL U  4,00 X 2,50 X 1,00 X 0,25</t>
  </si>
  <si>
    <t>PERFIL U  4,50 X 1,65 X 1,00 X 0,20</t>
  </si>
  <si>
    <t>PERFIL U  4,50 X 2,00 X 1,00 X 0,20</t>
  </si>
  <si>
    <t>PERFIL U  4,50 X 2,00 X 1,00 X 0,25</t>
  </si>
  <si>
    <t>PERFIL U  4,50 X 2,50 X 1,00 X 0,20</t>
  </si>
  <si>
    <t>PERFIL U 0,60 X 0,40 X 1,00 X 0,15</t>
  </si>
  <si>
    <t>PERFIL U 0,60 X 0,70 X 1,00 X 0,10</t>
  </si>
  <si>
    <t>PERFIL U 0,80 X 0,60 X 1,00 X 0,10</t>
  </si>
  <si>
    <t>PERFIL U 1,00 X 0,30 X 1,00 X 0,15</t>
  </si>
  <si>
    <t>PERFIL U 1,00 X 0,80 X 1,00 X 0,15</t>
  </si>
  <si>
    <t>PERFIL U 1,00 X 1,00 X 1,00 X 0,15</t>
  </si>
  <si>
    <t>PERFIL U 1,00 X 1,20 X 1,00 X 0,15</t>
  </si>
  <si>
    <t>PERFIL U 1,00 X 1,30 X 1,00 X 0,15</t>
  </si>
  <si>
    <t>PERFIL U 1,00 X 1,40 X 1,00 X 0,15</t>
  </si>
  <si>
    <t>PERFIL U 1,10 X 1,15 X 1,00 X 0,15</t>
  </si>
  <si>
    <t>PERFIL U 1,20 X 0,60 X 1,00 X 0,15</t>
  </si>
  <si>
    <t>PERFIL U 1,30 X 0,60 X 1,00 X 0,15</t>
  </si>
  <si>
    <t>PERFIL U 1,30 X 0,60 X 1,00 X 0,25</t>
  </si>
  <si>
    <t>PERFIL U 1,50 X 0,50 X 1,00 X 0,20</t>
  </si>
  <si>
    <t>PERFIL U 1,60 X 0,60 X 1,00 X 0,15</t>
  </si>
  <si>
    <t>PERFIL U 1,60 X 0,75 X 1,00 X 0,15</t>
  </si>
  <si>
    <t>PERFIL U 1,80 X 0,75 X 1,00 X 0,15</t>
  </si>
  <si>
    <t>PERFIL U 2,00 X 0,50 X 1,00 X 0,30</t>
  </si>
  <si>
    <t>PERFIL U 2,00 X 1,05 X 1,00 X 0,30</t>
  </si>
  <si>
    <t>PERFIL U 2,00 X 1,50 X 1,00 X 0,30</t>
  </si>
  <si>
    <t>PERFIL U 2,00 X 1,65 X 1,00 X 0,30</t>
  </si>
  <si>
    <t>PERFIL U 2,00 X 1,85 X 1,00 X 0,30</t>
  </si>
  <si>
    <t>PERFIL U 2,00 X1,15 X 1,00 X 0,20</t>
  </si>
  <si>
    <t>PERFIL U 2,50 X 1,00 X 1,00 X 0,15</t>
  </si>
  <si>
    <t>PERFIL U 2,50 X 1,50 X 1,00 X 0,15</t>
  </si>
  <si>
    <t>PERFIL U 2,50 X 2,25 X 1,00 X 0,25</t>
  </si>
  <si>
    <t>PERFIL U 3,00 X 2,1 X 1,00 X 0,30</t>
  </si>
  <si>
    <t>PERFIL U 5,00 X 1,00 X 1,00 X 0,30</t>
  </si>
  <si>
    <t>PERFIL U 6,00 X 2,00 X 1,00 X 0,30</t>
  </si>
  <si>
    <t>T.CONCR. ARM.  1000 X 1000 PA2</t>
  </si>
  <si>
    <t>T.CONCR. ARM.DR 400 X 2000 PA2</t>
  </si>
  <si>
    <t>T.CONCR. ARM.DR 400 X 2500 PA-3</t>
  </si>
  <si>
    <t>T.CONCR. ARM.PB 1500 X 1500 ESPECIAL</t>
  </si>
  <si>
    <t>T.CONCR. ARM.PB 400 X 2000 PA2</t>
  </si>
  <si>
    <t>T.CONCR. ARM.PB 400 X 2500 PA1</t>
  </si>
  <si>
    <t>T.CONCR.ARM.</t>
  </si>
  <si>
    <t>T.CONCR.ARM.DR 400X1500 PA3</t>
  </si>
  <si>
    <t>T.CONCR.ARM.DR1000X1500-PA2</t>
  </si>
  <si>
    <t>T.CONCR.ARM.DR1000X1500-PA3</t>
  </si>
  <si>
    <t>T.CONCR.ARM.DR1200X1500-PA1</t>
  </si>
  <si>
    <t>T.CONCR.ARM.DR1200X1500-PA4</t>
  </si>
  <si>
    <t>T.CONCR.ARM.DR1500X1500-PA1</t>
  </si>
  <si>
    <t>T.CONCR.ARM.DR1500X1500-PA2</t>
  </si>
  <si>
    <t>T.CONCR.ARM.DR1500X1500-PA4</t>
  </si>
  <si>
    <t>T.CONCR.ARM.DR2000X1500-PA4</t>
  </si>
  <si>
    <t>T.CONCR.ARM.DR300X2000-PA2</t>
  </si>
  <si>
    <t>T.CONCR.ARM.DR400X1500-PA2</t>
  </si>
  <si>
    <t>T.CONCR.ARM.DR400X2000-PA2</t>
  </si>
  <si>
    <t>T.CONCR.ARM.DR400X2000-PA3</t>
  </si>
  <si>
    <t>T.CONCR.ARM.DR400X2000-PA4</t>
  </si>
  <si>
    <t>T.CONCR.ARM.DR500X1500-PA2</t>
  </si>
  <si>
    <t>T.CONCR.ARM.DR500X2000-PA2</t>
  </si>
  <si>
    <t>T.CONCR.ARM.DR500X2000-PA4</t>
  </si>
  <si>
    <t>T.CONCR.ARM.DR600X1500-PA1</t>
  </si>
  <si>
    <t>T.CONCR.ARM.DR600X1500-PA2</t>
  </si>
  <si>
    <t>T.CONCR.ARM.DR600X1500-PA3</t>
  </si>
  <si>
    <t>T.CONCR.ARM.DR600X2000-PA2</t>
  </si>
  <si>
    <t>T.CONCR.ARM.DR600X2000-PA3</t>
  </si>
  <si>
    <t>T.CONCR.ARM.DR600X2000-PA4</t>
  </si>
  <si>
    <t>T.CONCR.ARM.DR800X1500-PA2</t>
  </si>
  <si>
    <t>T.CONCR.ARM.DR800X1500-PA3</t>
  </si>
  <si>
    <t>T.CONCR.ARM.DR800X1500-PA4</t>
  </si>
  <si>
    <t>T.CONCR.ARM.ESG 1000X1000-EA2JE/PV</t>
  </si>
  <si>
    <t>T.CONCR.ARM.ESG 1000X2500-EA2JE</t>
  </si>
  <si>
    <t>T.CONCR.ARM.ESG 1000X2500-EA2JEI</t>
  </si>
  <si>
    <t>T.CONCR.ARM.ESG 1000X2500-EA3JE</t>
  </si>
  <si>
    <t>T.CONCR.ARM.ESG 1000X500-EA2JE/PV</t>
  </si>
  <si>
    <t>T.CONCR.ARM.ESG 1200X1000-EA2JE/PV</t>
  </si>
  <si>
    <t>T.CONCR.ARM.ESG 1200X2500-EA2JE</t>
  </si>
  <si>
    <t>T.CONCR.ARM.ESG 1200X2500-EA3JE</t>
  </si>
  <si>
    <t>T.CONCR.ARM.ESG 1200X500-EA2JE/PV</t>
  </si>
  <si>
    <t>T.CONCR.ARM.ESG 1500X1000-EA2JE/PV</t>
  </si>
  <si>
    <t>T.CONCR.ARM.ESG 1500X2000-EA2JE</t>
  </si>
  <si>
    <t>T.CONCR.ARM.ESG 1500X2000-EA3JE</t>
  </si>
  <si>
    <t>T.CONCR.ARM.ESG 1500X500-EA2/PV</t>
  </si>
  <si>
    <t>T.CONCR.ARM.ESG 300X1000-EA2JP</t>
  </si>
  <si>
    <t>T.CONCR.ARM.ESG 300X2000-EA2JE</t>
  </si>
  <si>
    <t>T.CONCR.ARM.ESG 300X2000-EA3JE</t>
  </si>
  <si>
    <t>T.CONCR.ARM.ESG 300X2000-EA4JE</t>
  </si>
  <si>
    <t>T.CONCR.ARM.ESG 400X2000-EA2JE</t>
  </si>
  <si>
    <t>T.CONCR.ARM.ESG 400X2000-EA3JE</t>
  </si>
  <si>
    <t>T.CONCR.ARM.ESG 400X2000-EA3JP</t>
  </si>
  <si>
    <t>T.CONCR.ARM.ESG 400X2500-EA2JE</t>
  </si>
  <si>
    <t>T.CONCR.ARM.ESG 400X2500-EA3JE</t>
  </si>
  <si>
    <t>T.CONCR.ARM.ESG 500X2000-EA2JE</t>
  </si>
  <si>
    <t>T.CONCR.ARM.ESG 500X2000-EA3JE</t>
  </si>
  <si>
    <t>T.CONCR.ARM.ESG 500X2500-EA2JE</t>
  </si>
  <si>
    <t>T.CONCR.ARM.ESG 500X2500-EA3JE</t>
  </si>
  <si>
    <t>T.CONCR.ARM.ESG 500X2500-EA4JE</t>
  </si>
  <si>
    <t>T.CONCR.ARM.ESG 600X1000-EA2JE/PI</t>
  </si>
  <si>
    <t>T.CONCR.ARM.ESG 600X2000-EA2JE</t>
  </si>
  <si>
    <t>T.CONCR.ARM.ESG 600X2000-EA3JE</t>
  </si>
  <si>
    <t>T.CONCR.ARM.ESG 600X2000-EA4JE</t>
  </si>
  <si>
    <t>T.CONCR.ARM.ESG 600X2500-EA2JE</t>
  </si>
  <si>
    <t>T.CONCR.ARM.ESG 600X2500-EA3JE</t>
  </si>
  <si>
    <t>T.CONCR.ARM.ESG 600X2500-EA4JE</t>
  </si>
  <si>
    <t>T.CONCR.ARM.ESG 600X500-EA2JE/PI</t>
  </si>
  <si>
    <t>T.CONCR.ARM.ESG 700X2500-EA2JE</t>
  </si>
  <si>
    <t>T.CONCR.ARM.ESG 700X2500-EA3JE</t>
  </si>
  <si>
    <t>T.CONCR.ARM.ESG 800X2000-EA2 GJP</t>
  </si>
  <si>
    <t>T.CONCR.ARM.ESG 800X2000-EA3 JE/JP</t>
  </si>
  <si>
    <t>T.CONCR.ARM.ESG 800X2500-EA2JE</t>
  </si>
  <si>
    <t>T.CONCR.ARM.ESG 800X2500-EA3JE</t>
  </si>
  <si>
    <t>T.CONCR.ARM.ESG 800X2500-EA4JE</t>
  </si>
  <si>
    <t>T.CONCR.ARM.ESG 800X500 EA2JE</t>
  </si>
  <si>
    <t>T.CONCR.ARM.ESG. 1000 X 1500 EA2</t>
  </si>
  <si>
    <t>T.CONCR.ARM.MF2000X1500-PA2</t>
  </si>
  <si>
    <t>T.CONCR.ARM.PB 1000X1500-PA1</t>
  </si>
  <si>
    <t>T.CONCR.ARM.PB 1000X2500-PA2 JEI</t>
  </si>
  <si>
    <t>T.CONCR.ARM.PB 1200X1000-PA4</t>
  </si>
  <si>
    <t>T.CONCR.ARM.PB 1200X1500- Q=250KN</t>
  </si>
  <si>
    <t>T.CONCR.ARM.PB 300X2000 PA2</t>
  </si>
  <si>
    <t>T.CONCR.ARM.PB 400 X 1000 PA2</t>
  </si>
  <si>
    <t>T.CONCR.ARM.PB 400X1500 PA3</t>
  </si>
  <si>
    <t>T.CONCR.ARM.PB 500X2500-PA2 JEI</t>
  </si>
  <si>
    <t>T.CONCR.ARM.PB 600 X 1500 PA2 JE</t>
  </si>
  <si>
    <t>TUBO CONCR. ARM. 1500 X 1500 PA2 - C</t>
  </si>
  <si>
    <t>TUBO CONCR. ARM. 800 X 1500 PA2 - C</t>
  </si>
  <si>
    <t>TUBO OVOIDE SECAO 3M2</t>
  </si>
  <si>
    <t>TUBO OVOIDE SECAO 4M2</t>
  </si>
  <si>
    <t>Prazo Entrega</t>
  </si>
  <si>
    <t>CADASTRO DE PEDIDOS</t>
  </si>
  <si>
    <t>Vendedor:</t>
  </si>
  <si>
    <t>Adalberto</t>
  </si>
  <si>
    <t>Anderson</t>
  </si>
  <si>
    <t>Andréia</t>
  </si>
  <si>
    <t>Benjamin</t>
  </si>
  <si>
    <t>João</t>
  </si>
  <si>
    <t>João Lencioni</t>
  </si>
  <si>
    <t>José Luiz</t>
  </si>
  <si>
    <t>José Venske</t>
  </si>
  <si>
    <t>Luciana</t>
  </si>
  <si>
    <t>Marcio</t>
  </si>
  <si>
    <t>Scott</t>
  </si>
  <si>
    <t>Stefanie</t>
  </si>
  <si>
    <t>Vendedor</t>
  </si>
  <si>
    <t>Saldo (M)</t>
  </si>
  <si>
    <t>Valor_Metro</t>
  </si>
  <si>
    <t>Data_Conclusão</t>
  </si>
  <si>
    <t>Qtd_Liberada</t>
  </si>
  <si>
    <t>Observações</t>
  </si>
  <si>
    <t>ADUELA 3,00 X 1,50 X1,00 X 0,30</t>
  </si>
  <si>
    <t>T.CONCR.SIMP.PB600 X 1500 - PS2</t>
  </si>
  <si>
    <t>T.CONCR.SIMP.PB600 X 1500 - PS1</t>
  </si>
  <si>
    <t>T.CONCR.SIMP.PB500 X 1500 - PS2</t>
  </si>
  <si>
    <t>T.CONCR.SIMP.PB500 X 1500 - PS1</t>
  </si>
  <si>
    <t>T.CONCR.SIMP.PB400 X 1500 - PS2</t>
  </si>
  <si>
    <t>T.CONCR.SIMP.PB400 X1500 - PS1</t>
  </si>
  <si>
    <t>T.CONCR.SIMP.PB300 X 1500 - PS2</t>
  </si>
  <si>
    <t>T.CONCR.SIMP.PB300 X 1500 - PS1</t>
  </si>
  <si>
    <t>T.CONCR.SIMP.DR400 X 1500 - PS1</t>
  </si>
  <si>
    <t>T.CONCR.SIMP.DR200 X1000 - PS1</t>
  </si>
  <si>
    <t>T.CONCR.ARM.PB900 X 1500 - PA3</t>
  </si>
  <si>
    <t>T.CONCR.ARM.PB800 X 2500 - PA4</t>
  </si>
  <si>
    <t>T.CONCR.ARM.PB800 X 2500 -PA3</t>
  </si>
  <si>
    <t>T.CONCR.ARM.PB800 X 2500 - PA2</t>
  </si>
  <si>
    <t>T.CONCR.ARM.PB800 X 1500 - PA4</t>
  </si>
  <si>
    <t>T.CONCR.ARM.PB800 X 1500 - PA3</t>
  </si>
  <si>
    <t>T.CONCR.ARM.PB800 X 1500 - PA2</t>
  </si>
  <si>
    <t>T.CONCR.ARM.PB800 X 1500 - PA1</t>
  </si>
  <si>
    <t>T.CONCR.ARM.PB700 X 2500 - PA2</t>
  </si>
  <si>
    <t>T.CONCR.ARM.PB700 X 1500 - PA2</t>
  </si>
  <si>
    <t>T.CONCR.ARM.PB600 X 2500 - PA4</t>
  </si>
  <si>
    <t>T.CONCR.ARM.PB600 X 2500 - PA3</t>
  </si>
  <si>
    <t>T.CONCR.ARM.PB600 X 2500 - PA2 JE</t>
  </si>
  <si>
    <t>T.CONCR.ARM.PB600 X 2000 - PA4</t>
  </si>
  <si>
    <t>T.CONCR.ARM.PB600 X 2000 - PA3</t>
  </si>
  <si>
    <t>T.CONCR.ARM.PB600 X 2000 - PA2</t>
  </si>
  <si>
    <t>T.CONCR.ARM.PB600 X 1500 - PA4</t>
  </si>
  <si>
    <t>T.CONCR.ARM.PB600 X 1500 - PA2</t>
  </si>
  <si>
    <t>T.CONCR.ARM.PB600 X 1500 - PA3</t>
  </si>
  <si>
    <t>T.CONCR.ARM.PB500 X2 500 - PA4</t>
  </si>
  <si>
    <t>T.CONCR.ARM.PB500 X 2500 - PA3</t>
  </si>
  <si>
    <t>T.CONCR.ARM.PB500 X 2500 - PA2</t>
  </si>
  <si>
    <t>T.CONCR.ARM.PB500 X 2000 - PA4</t>
  </si>
  <si>
    <t>T.CONCR.ARM.PB500 X 2000 - PA3</t>
  </si>
  <si>
    <t>T.CONCR.ARM.PB500 X 1500 - PA4</t>
  </si>
  <si>
    <t>T.CONCR.ARM.PB500 X 2000 - PA2</t>
  </si>
  <si>
    <t>T.CONCR.ARM.PB500 X 1500 - PA3</t>
  </si>
  <si>
    <t>T.CONCR.ARM.PB500 X 1500 - PA2</t>
  </si>
  <si>
    <t>T.CONCR.ARM.PB400 X 2500 - PA4</t>
  </si>
  <si>
    <t>T.CONCR.ARM.PB400 X 2500 - PA3</t>
  </si>
  <si>
    <t>T.CONCR.ARM.PB400 X 2500 - PA2</t>
  </si>
  <si>
    <t>T.CONCR.ARM.PB400 X 2000 - PA4</t>
  </si>
  <si>
    <t>T.CONCR.ARM.PB400 X 2000 - PA3</t>
  </si>
  <si>
    <t>T.CONCR.ARM.PB400 X 1500 - PA1</t>
  </si>
  <si>
    <t>T.CONCR.ARM.PB400 X 1500 - PA2</t>
  </si>
  <si>
    <t>T.CONCR.ARM.PB300 X 2000 - PA4</t>
  </si>
  <si>
    <t>T.CONCR.ARM.PB2000 X 1500 - PA4</t>
  </si>
  <si>
    <t>T.CONCR.ARM.PB2000 X 1500 - PA3</t>
  </si>
  <si>
    <t>T.CONCR.ARM.PB2000 X 1500 - PA2</t>
  </si>
  <si>
    <t>T.CONCR.ARM.PB1750 X 2000 - PA4</t>
  </si>
  <si>
    <t>T.CONCR.ARM.PB1750 X 2000 - PA3</t>
  </si>
  <si>
    <t>T.CONCR.ARM.PB1750 X 2000 - PA2</t>
  </si>
  <si>
    <t>T.CONCR.ARM.PB1500 X 2000 - PA2J - I</t>
  </si>
  <si>
    <t>T.CONCR.ARM.PB1500 X 2000 - PA2</t>
  </si>
  <si>
    <t>T.CONCR.ARM.PB1500 X 1500 - PA4</t>
  </si>
  <si>
    <t>T.CONCR.ARM.PB1500 X 1500 - PA3</t>
  </si>
  <si>
    <t>T.CONCR.ARM.PB1500 X 1500 - PA2</t>
  </si>
  <si>
    <t>T.CONCR.ARM.PB1500 X 1500 - PA1</t>
  </si>
  <si>
    <t>T.CONCR.ARM.PB1200 X 2500 - PA4</t>
  </si>
  <si>
    <t>T.CONCR.ARM.PB1200 X 2500 - PA3</t>
  </si>
  <si>
    <t>T.CONCR.ARM.PB1200 X 2500 - PA2</t>
  </si>
  <si>
    <t>T.CONCR.ARM.PB1200 X 1500 - PA4</t>
  </si>
  <si>
    <t>T.CONCR.ARM.PB1200 X 1500 - PA3</t>
  </si>
  <si>
    <t>T.CONCR.ARM.PB1200 X 1500 - PA2</t>
  </si>
  <si>
    <t>T.CONCR.ARM.PB1200 X 1500 - PA1</t>
  </si>
  <si>
    <t>T.CONCR.ARM.PB1200 X 1500 - F6</t>
  </si>
  <si>
    <t>T.CONCR.ARM.PB1200 X 1500 - F4</t>
  </si>
  <si>
    <t>T.CONCR.ARM.PB1100 X 1500 - PA2</t>
  </si>
  <si>
    <t>T.CONCR.ARM.PB1000 X 2500 - PA4</t>
  </si>
  <si>
    <t>T.CONCR.ARM.PB1000 X 2500 - PA3</t>
  </si>
  <si>
    <t>T.CONCR.ARM.PB1000 X 2500 - PA2</t>
  </si>
  <si>
    <t>T.CONCR.ARM.PB1000 X 1500 - PA4</t>
  </si>
  <si>
    <t>T.CONCR.ARM.PB1000 X 1500 - PA3</t>
  </si>
  <si>
    <t>T.CONCR.ARM.PB1000 X 1500 - PA2</t>
  </si>
  <si>
    <t>T.CONCR.ARM.PB1000 X 1500 - F5</t>
  </si>
  <si>
    <t>T.CONCR.ARM.PB1000 X 1500 - CR - E - 200</t>
  </si>
  <si>
    <t>T.CONCR.ARM.PB1000 X 1000 - PA1</t>
  </si>
  <si>
    <t>T.CONCR.ARM.PB DR 400 X 2500 - PA2</t>
  </si>
  <si>
    <t>T.CONCR.ARM.PB 800 X 1000 - PA4</t>
  </si>
  <si>
    <t>T.CONCR.ARM.PB 800 X 1000 - PA2</t>
  </si>
  <si>
    <t>T.CONCR.ARM.PB 800 X 2500 - PA2 - JEI</t>
  </si>
  <si>
    <t>T.CONCR.ARM.PB 600 X 2500 - PA2 - JEI</t>
  </si>
  <si>
    <t>Status_Pedido</t>
  </si>
  <si>
    <t>Valor_Total_Pedido</t>
  </si>
  <si>
    <t>Qtd_Inicial</t>
  </si>
  <si>
    <t>Data_Pedido</t>
  </si>
  <si>
    <t>B&amp;P Entulhos e Transportes</t>
  </si>
  <si>
    <t>Capital Jundiaí</t>
  </si>
  <si>
    <t>Consorcio Recuperação</t>
  </si>
  <si>
    <t>Valor do Produto:</t>
  </si>
  <si>
    <t xml:space="preserve">Código do Cliente: </t>
  </si>
  <si>
    <t>Cliente:</t>
  </si>
  <si>
    <t>PRODUTOS CADASTRADOS</t>
  </si>
  <si>
    <t>CADASTRAR NOVO PRODUTO</t>
  </si>
  <si>
    <t>Código_Cliente</t>
  </si>
  <si>
    <t>CLIENTES CADASTRADOS</t>
  </si>
  <si>
    <t>CADASTRAR NOVO CLIENTE</t>
  </si>
  <si>
    <t>Vendedores_ACA</t>
  </si>
  <si>
    <t>CADASTRAR NOVO VENDEDOR</t>
  </si>
  <si>
    <t xml:space="preserve">Código do Vendedor: </t>
  </si>
  <si>
    <t>Nome do Vendedor:</t>
  </si>
  <si>
    <t>VENDEDORES CADASTRADOS</t>
  </si>
  <si>
    <t>TESTANDO CAD.VENDEDOR</t>
  </si>
  <si>
    <t>TESTANDO CAD.CLIENTE</t>
  </si>
  <si>
    <t>Código do Produto:</t>
  </si>
  <si>
    <t>Descrição do Produto:</t>
  </si>
  <si>
    <t>TESTANDO CAD.PRODUTO</t>
  </si>
  <si>
    <t>Código_Vendedor_ACA</t>
  </si>
  <si>
    <t>teste3</t>
  </si>
  <si>
    <t>Código_Produto_</t>
  </si>
  <si>
    <t>TESTE 4</t>
  </si>
  <si>
    <t>MATERIAS</t>
  </si>
  <si>
    <t xml:space="preserve">QTD.LIB_PRODUÇÃO - NO DIA </t>
  </si>
  <si>
    <t>QDT_PARA PRODUZIR HOJE</t>
  </si>
  <si>
    <t>bolinhas</t>
  </si>
  <si>
    <t>RESTA DA QTD LIB</t>
  </si>
  <si>
    <r>
      <t xml:space="preserve">N° PEDIDO : </t>
    </r>
    <r>
      <rPr>
        <b/>
        <sz val="12"/>
        <color rgb="FFFF0000"/>
        <rFont val="Calibri"/>
        <family val="2"/>
        <scheme val="minor"/>
      </rPr>
      <t>*</t>
    </r>
  </si>
  <si>
    <r>
      <t>PRODUTO :</t>
    </r>
    <r>
      <rPr>
        <b/>
        <sz val="12"/>
        <color rgb="FFFF0000"/>
        <rFont val="Calibri"/>
        <family val="2"/>
        <scheme val="minor"/>
      </rPr>
      <t xml:space="preserve"> *</t>
    </r>
  </si>
  <si>
    <t xml:space="preserve">QUANTIDADE LIBERADA : </t>
  </si>
  <si>
    <t>ATUALIZAR OS PEDIDOS</t>
  </si>
  <si>
    <t>QUANTIDADE ENVIADA:</t>
  </si>
  <si>
    <r>
      <t xml:space="preserve">COD. PRODUTO : </t>
    </r>
    <r>
      <rPr>
        <b/>
        <sz val="12"/>
        <color rgb="FFFF0000"/>
        <rFont val="Calibri"/>
        <family val="2"/>
        <scheme val="minor"/>
      </rPr>
      <t>*</t>
    </r>
  </si>
  <si>
    <t xml:space="preserve">CLIENTE : </t>
  </si>
  <si>
    <t xml:space="preserve"> QDT LIBERADA REF  MATERIAL DE FORMA GERAL DOS PEDIDOS</t>
  </si>
  <si>
    <t>MATERIAIS</t>
  </si>
  <si>
    <t>RESTA NO PÁTIO</t>
  </si>
  <si>
    <t>SAÍDA DE MATERIAS</t>
  </si>
  <si>
    <t xml:space="preserve">N° da nota </t>
  </si>
  <si>
    <t>LUIZ ALBERTO</t>
  </si>
  <si>
    <r>
      <t>N° do Pedido</t>
    </r>
    <r>
      <rPr>
        <b/>
        <sz val="11"/>
        <color rgb="FFFF0000"/>
        <rFont val="Calibri"/>
        <family val="2"/>
        <scheme val="minor"/>
      </rPr>
      <t>*</t>
    </r>
  </si>
  <si>
    <r>
      <t>DESEJA CANCELAR ? DIGITE "</t>
    </r>
    <r>
      <rPr>
        <b/>
        <sz val="12"/>
        <color rgb="FFFF0000"/>
        <rFont val="Calibri"/>
        <family val="2"/>
        <scheme val="minor"/>
      </rPr>
      <t>0</t>
    </r>
    <r>
      <rPr>
        <b/>
        <sz val="11"/>
        <color theme="3"/>
        <rFont val="Calibri"/>
        <family val="2"/>
        <scheme val="minor"/>
      </rPr>
      <t>"</t>
    </r>
  </si>
  <si>
    <t>vasdas</t>
  </si>
  <si>
    <r>
      <rPr>
        <b/>
        <sz val="11"/>
        <color theme="0"/>
        <rFont val="Calibri"/>
        <family val="2"/>
        <scheme val="minor"/>
      </rPr>
      <t>COD_PRO</t>
    </r>
    <r>
      <rPr>
        <b/>
        <sz val="11"/>
        <color theme="4" tint="-0.499984740745262"/>
        <rFont val="Calibri"/>
        <family val="2"/>
        <scheme val="minor"/>
      </rPr>
      <t>D</t>
    </r>
  </si>
  <si>
    <t xml:space="preserve"> PÁTIO</t>
  </si>
  <si>
    <t xml:space="preserve">Material na Produção dia </t>
  </si>
  <si>
    <t>Data ultima Entrega</t>
  </si>
  <si>
    <t>Entrega MAT. Prevista</t>
  </si>
  <si>
    <t>ENTREGUE NO DIA</t>
  </si>
  <si>
    <t>Qtd_Entregue</t>
  </si>
  <si>
    <t>Não Liberado</t>
  </si>
  <si>
    <t>Dias na Base</t>
  </si>
  <si>
    <t>Dias na produção</t>
  </si>
  <si>
    <t>Concluído</t>
  </si>
  <si>
    <t>Produção</t>
  </si>
  <si>
    <t>Em Andamento</t>
  </si>
  <si>
    <t xml:space="preserve">21/10/2024 </t>
  </si>
  <si>
    <t xml:space="preserve">22/10/2024 </t>
  </si>
  <si>
    <t>Data</t>
  </si>
  <si>
    <t>Quantidade</t>
  </si>
  <si>
    <t>Empresa</t>
  </si>
  <si>
    <t>REGISTRO DAS SAÍDAS</t>
  </si>
  <si>
    <t xml:space="preserve">24/10/2024 </t>
  </si>
  <si>
    <t xml:space="preserve"> </t>
  </si>
  <si>
    <t xml:space="preserve">25/10/2024 </t>
  </si>
  <si>
    <t>DASD</t>
  </si>
  <si>
    <t>ASDASD</t>
  </si>
  <si>
    <t>LAJE</t>
  </si>
  <si>
    <t>ADUELA</t>
  </si>
  <si>
    <t>TAPETE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</si>
</sst>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/m/yy\ h:mm;@"/>
    <numFmt numFmtId="165" formatCode="&quot;R$&quot;\ #,##0.00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11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sz val="48"/>
      <color rgb="FF00206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36"/>
      <color rgb="FF002060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22"/>
      <color rgb="FF002060"/>
      <name val="Calibri"/>
      <family val="2"/>
      <scheme val="minor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21326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theme="1" tint="0.499984740745262"/>
      </left>
      <right style="thin">
        <color indexed="64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1" tint="0.499984740745262"/>
      </top>
      <bottom style="thin">
        <color theme="2" tint="-0.49998474074526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dashed">
        <color theme="2" tint="-0.499984740745262"/>
      </right>
      <top/>
      <bottom/>
      <diagonal/>
    </border>
    <border>
      <left style="dashed">
        <color theme="2" tint="-0.499984740745262"/>
      </left>
      <right/>
      <top/>
      <bottom/>
      <diagonal/>
    </border>
    <border>
      <left style="dashed">
        <color theme="2" tint="-0.499984740745262"/>
      </left>
      <right/>
      <top/>
      <bottom style="dashed">
        <color theme="2" tint="-0.499984740745262"/>
      </bottom>
      <diagonal/>
    </border>
    <border>
      <left/>
      <right/>
      <top/>
      <bottom style="dashed">
        <color theme="2" tint="-0.499984740745262"/>
      </bottom>
      <diagonal/>
    </border>
    <border>
      <left/>
      <right style="dashed">
        <color theme="2" tint="-0.499984740745262"/>
      </right>
      <top/>
      <bottom style="dashed">
        <color theme="2" tint="-0.499984740745262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4" fillId="22" borderId="35" applyNumberFormat="0" applyAlignment="0" applyProtection="0"/>
    <xf numFmtId="0" fontId="26" fillId="0" borderId="0" applyNumberFormat="0" applyFill="0" applyBorder="0" applyAlignment="0" applyProtection="0"/>
  </cellStyleXfs>
  <cellXfs count="240">
    <xf numFmtId="0" fontId="0" fillId="0" borderId="0" xfId="0"/>
    <xf numFmtId="0" fontId="0" fillId="0" borderId="0" xfId="0" applyBorder="1"/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3" fillId="0" borderId="0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9" fontId="0" fillId="2" borderId="1" xfId="0" applyNumberFormat="1" applyFill="1" applyBorder="1" applyAlignment="1" applyProtection="1">
      <alignment horizontal="center"/>
      <protection locked="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165" fontId="0" fillId="2" borderId="1" xfId="0" applyNumberForma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>
      <alignment vertical="center"/>
    </xf>
    <xf numFmtId="165" fontId="0" fillId="0" borderId="0" xfId="0" applyNumberFormat="1"/>
    <xf numFmtId="0" fontId="1" fillId="0" borderId="0" xfId="0" applyFont="1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5" xfId="0" applyFont="1" applyFill="1" applyBorder="1" applyAlignment="1">
      <alignment vertical="center"/>
    </xf>
    <xf numFmtId="0" fontId="1" fillId="3" borderId="14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2" borderId="1" xfId="0" applyNumberForma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5" fontId="9" fillId="0" borderId="0" xfId="0" applyNumberFormat="1" applyFont="1" applyFill="1" applyBorder="1" applyAlignment="1">
      <alignment vertical="center"/>
    </xf>
    <xf numFmtId="165" fontId="1" fillId="3" borderId="15" xfId="0" applyNumberFormat="1" applyFont="1" applyFill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49" fontId="0" fillId="4" borderId="14" xfId="0" applyNumberFormat="1" applyFont="1" applyFill="1" applyBorder="1" applyAlignment="1">
      <alignment horizontal="center"/>
    </xf>
    <xf numFmtId="49" fontId="1" fillId="4" borderId="15" xfId="0" applyNumberFormat="1" applyFont="1" applyFill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16" xfId="0" applyFont="1" applyBorder="1" applyAlignment="1">
      <alignment horizontal="center"/>
    </xf>
    <xf numFmtId="0" fontId="1" fillId="0" borderId="0" xfId="0" applyNumberFormat="1" applyFont="1"/>
    <xf numFmtId="0" fontId="9" fillId="0" borderId="0" xfId="0" applyNumberFormat="1" applyFont="1" applyFill="1" applyBorder="1" applyAlignment="1">
      <alignment vertical="center"/>
    </xf>
    <xf numFmtId="0" fontId="1" fillId="3" borderId="12" xfId="0" applyNumberFormat="1" applyFont="1" applyFill="1" applyBorder="1" applyAlignment="1">
      <alignment horizontal="center"/>
    </xf>
    <xf numFmtId="0" fontId="1" fillId="0" borderId="3" xfId="0" applyNumberFormat="1" applyFont="1" applyBorder="1" applyAlignment="1">
      <alignment horizontal="center"/>
    </xf>
    <xf numFmtId="49" fontId="0" fillId="0" borderId="0" xfId="0" applyNumberFormat="1" applyFont="1"/>
    <xf numFmtId="49" fontId="13" fillId="0" borderId="0" xfId="0" applyNumberFormat="1" applyFont="1" applyFill="1" applyBorder="1" applyAlignment="1">
      <alignment vertical="center"/>
    </xf>
    <xf numFmtId="49" fontId="0" fillId="3" borderId="12" xfId="0" applyNumberFormat="1" applyFont="1" applyFill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/>
    <xf numFmtId="49" fontId="0" fillId="9" borderId="3" xfId="0" applyNumberFormat="1" applyFont="1" applyFill="1" applyBorder="1" applyAlignment="1">
      <alignment horizontal="center"/>
    </xf>
    <xf numFmtId="49" fontId="0" fillId="7" borderId="3" xfId="0" applyNumberFormat="1" applyFont="1" applyFill="1" applyBorder="1" applyAlignment="1">
      <alignment horizontal="center"/>
    </xf>
    <xf numFmtId="0" fontId="0" fillId="10" borderId="3" xfId="0" applyFill="1" applyBorder="1"/>
    <xf numFmtId="49" fontId="0" fillId="7" borderId="20" xfId="0" applyNumberFormat="1" applyFont="1" applyFill="1" applyBorder="1" applyAlignment="1">
      <alignment horizontal="center"/>
    </xf>
    <xf numFmtId="49" fontId="0" fillId="9" borderId="21" xfId="0" applyNumberFormat="1" applyFont="1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49" fontId="0" fillId="9" borderId="12" xfId="0" applyNumberFormat="1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  <xf numFmtId="49" fontId="0" fillId="7" borderId="2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4" fillId="0" borderId="0" xfId="0" applyFont="1"/>
    <xf numFmtId="0" fontId="0" fillId="15" borderId="0" xfId="0" applyFill="1" applyProtection="1"/>
    <xf numFmtId="0" fontId="0" fillId="15" borderId="27" xfId="0" applyFill="1" applyBorder="1" applyAlignment="1" applyProtection="1"/>
    <xf numFmtId="0" fontId="0" fillId="15" borderId="24" xfId="0" applyFill="1" applyBorder="1" applyAlignment="1" applyProtection="1"/>
    <xf numFmtId="0" fontId="16" fillId="15" borderId="24" xfId="0" applyFont="1" applyFill="1" applyBorder="1" applyAlignment="1" applyProtection="1">
      <alignment vertical="center"/>
    </xf>
    <xf numFmtId="0" fontId="15" fillId="15" borderId="24" xfId="0" applyFont="1" applyFill="1" applyBorder="1" applyAlignment="1" applyProtection="1">
      <alignment vertical="center"/>
    </xf>
    <xf numFmtId="0" fontId="15" fillId="15" borderId="28" xfId="0" applyFont="1" applyFill="1" applyBorder="1" applyAlignment="1" applyProtection="1">
      <alignment vertical="center"/>
    </xf>
    <xf numFmtId="0" fontId="0" fillId="15" borderId="29" xfId="0" applyFill="1" applyBorder="1" applyAlignment="1" applyProtection="1"/>
    <xf numFmtId="0" fontId="0" fillId="15" borderId="0" xfId="0" applyFill="1" applyBorder="1" applyAlignment="1" applyProtection="1"/>
    <xf numFmtId="0" fontId="15" fillId="15" borderId="0" xfId="0" applyFont="1" applyFill="1" applyBorder="1" applyAlignment="1" applyProtection="1">
      <alignment vertical="center"/>
    </xf>
    <xf numFmtId="0" fontId="15" fillId="15" borderId="30" xfId="0" applyFont="1" applyFill="1" applyBorder="1" applyAlignment="1" applyProtection="1">
      <alignment vertical="center"/>
    </xf>
    <xf numFmtId="0" fontId="0" fillId="15" borderId="0" xfId="0" applyFill="1" applyBorder="1" applyProtection="1"/>
    <xf numFmtId="0" fontId="0" fillId="15" borderId="30" xfId="0" applyFill="1" applyBorder="1" applyProtection="1"/>
    <xf numFmtId="0" fontId="0" fillId="15" borderId="30" xfId="0" applyFill="1" applyBorder="1" applyAlignment="1" applyProtection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8" borderId="16" xfId="0" applyFont="1" applyFill="1" applyBorder="1" applyAlignment="1">
      <alignment horizontal="center"/>
    </xf>
    <xf numFmtId="0" fontId="1" fillId="8" borderId="22" xfId="0" applyFont="1" applyFill="1" applyBorder="1" applyAlignment="1">
      <alignment horizontal="center"/>
    </xf>
    <xf numFmtId="49" fontId="0" fillId="9" borderId="13" xfId="0" applyNumberFormat="1" applyFont="1" applyFill="1" applyBorder="1" applyAlignment="1">
      <alignment horizontal="center"/>
    </xf>
    <xf numFmtId="49" fontId="0" fillId="7" borderId="13" xfId="0" applyNumberFormat="1" applyFont="1" applyFill="1" applyBorder="1" applyAlignment="1">
      <alignment horizontal="center"/>
    </xf>
    <xf numFmtId="49" fontId="0" fillId="9" borderId="18" xfId="0" applyNumberFormat="1" applyFont="1" applyFill="1" applyBorder="1" applyAlignment="1">
      <alignment horizontal="center"/>
    </xf>
    <xf numFmtId="49" fontId="0" fillId="9" borderId="15" xfId="0" applyNumberFormat="1" applyFont="1" applyFill="1" applyBorder="1" applyAlignment="1">
      <alignment horizontal="center"/>
    </xf>
    <xf numFmtId="49" fontId="0" fillId="7" borderId="33" xfId="0" applyNumberFormat="1" applyFont="1" applyFill="1" applyBorder="1" applyAlignment="1">
      <alignment horizontal="center"/>
    </xf>
    <xf numFmtId="49" fontId="0" fillId="9" borderId="34" xfId="0" applyNumberFormat="1" applyFont="1" applyFill="1" applyBorder="1" applyAlignment="1">
      <alignment horizontal="center"/>
    </xf>
    <xf numFmtId="49" fontId="0" fillId="7" borderId="34" xfId="0" applyNumberFormat="1" applyFont="1" applyFill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3" fillId="14" borderId="13" xfId="0" applyFont="1" applyFill="1" applyBorder="1" applyAlignment="1">
      <alignment horizontal="center"/>
    </xf>
    <xf numFmtId="0" fontId="0" fillId="16" borderId="3" xfId="0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0" fillId="8" borderId="16" xfId="0" applyFill="1" applyBorder="1"/>
    <xf numFmtId="0" fontId="4" fillId="18" borderId="16" xfId="0" applyFont="1" applyFill="1" applyBorder="1" applyAlignment="1">
      <alignment horizontal="center"/>
    </xf>
    <xf numFmtId="0" fontId="1" fillId="17" borderId="0" xfId="0" applyFon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Border="1"/>
    <xf numFmtId="0" fontId="1" fillId="0" borderId="0" xfId="0" applyFont="1" applyBorder="1"/>
    <xf numFmtId="0" fontId="0" fillId="19" borderId="3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0" fillId="21" borderId="3" xfId="0" applyFill="1" applyBorder="1" applyAlignment="1">
      <alignment horizontal="center" vertical="top"/>
    </xf>
    <xf numFmtId="0" fontId="1" fillId="8" borderId="15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4" fillId="18" borderId="3" xfId="0" applyFont="1" applyFill="1" applyBorder="1" applyAlignment="1">
      <alignment horizontal="center"/>
    </xf>
    <xf numFmtId="0" fontId="22" fillId="9" borderId="12" xfId="0" applyFont="1" applyFill="1" applyBorder="1" applyAlignment="1">
      <alignment horizontal="center"/>
    </xf>
    <xf numFmtId="0" fontId="22" fillId="7" borderId="3" xfId="0" applyFont="1" applyFill="1" applyBorder="1" applyAlignment="1">
      <alignment horizontal="center"/>
    </xf>
    <xf numFmtId="0" fontId="22" fillId="9" borderId="3" xfId="0" applyFont="1" applyFill="1" applyBorder="1" applyAlignment="1">
      <alignment horizontal="center"/>
    </xf>
    <xf numFmtId="0" fontId="22" fillId="0" borderId="0" xfId="0" applyFont="1"/>
    <xf numFmtId="0" fontId="1" fillId="24" borderId="3" xfId="0" applyFont="1" applyFill="1" applyBorder="1" applyAlignment="1" applyProtection="1">
      <alignment horizontal="center"/>
      <protection locked="0"/>
    </xf>
    <xf numFmtId="1" fontId="0" fillId="6" borderId="1" xfId="0" applyNumberFormat="1" applyFill="1" applyBorder="1" applyAlignment="1" applyProtection="1">
      <alignment horizontal="center"/>
      <protection locked="0"/>
    </xf>
    <xf numFmtId="0" fontId="0" fillId="0" borderId="36" xfId="0" applyBorder="1"/>
    <xf numFmtId="0" fontId="0" fillId="0" borderId="0" xfId="0" applyBorder="1" applyAlignment="1"/>
    <xf numFmtId="0" fontId="0" fillId="0" borderId="38" xfId="0" applyBorder="1"/>
    <xf numFmtId="0" fontId="0" fillId="0" borderId="39" xfId="0" applyBorder="1" applyAlignment="1"/>
    <xf numFmtId="0" fontId="0" fillId="0" borderId="40" xfId="0" applyBorder="1" applyAlignment="1"/>
    <xf numFmtId="0" fontId="0" fillId="0" borderId="41" xfId="0" applyBorder="1" applyAlignment="1"/>
    <xf numFmtId="0" fontId="0" fillId="0" borderId="39" xfId="0" applyBorder="1"/>
    <xf numFmtId="0" fontId="0" fillId="0" borderId="38" xfId="0" applyBorder="1" applyAlignment="1"/>
    <xf numFmtId="0" fontId="0" fillId="0" borderId="42" xfId="0" applyBorder="1" applyAlignment="1"/>
    <xf numFmtId="0" fontId="0" fillId="23" borderId="1" xfId="0" applyNumberFormat="1" applyFill="1" applyBorder="1" applyAlignment="1" applyProtection="1">
      <alignment horizontal="center"/>
    </xf>
    <xf numFmtId="49" fontId="0" fillId="23" borderId="1" xfId="0" applyNumberFormat="1" applyFill="1" applyBorder="1" applyAlignment="1" applyProtection="1">
      <alignment horizontal="center"/>
      <protection locked="0"/>
    </xf>
    <xf numFmtId="164" fontId="0" fillId="23" borderId="1" xfId="0" applyNumberFormat="1" applyFill="1" applyBorder="1" applyAlignment="1" applyProtection="1">
      <alignment horizontal="center"/>
      <protection hidden="1"/>
    </xf>
    <xf numFmtId="14" fontId="0" fillId="23" borderId="1" xfId="0" applyNumberFormat="1" applyFill="1" applyBorder="1" applyAlignment="1" applyProtection="1">
      <alignment horizontal="center"/>
      <protection locked="0"/>
    </xf>
    <xf numFmtId="0" fontId="23" fillId="6" borderId="37" xfId="1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Border="1" applyAlignment="1">
      <alignment horizontal="center"/>
    </xf>
    <xf numFmtId="49" fontId="4" fillId="0" borderId="3" xfId="0" applyNumberFormat="1" applyFont="1" applyBorder="1" applyAlignment="1">
      <alignment horizontal="center"/>
    </xf>
    <xf numFmtId="49" fontId="4" fillId="0" borderId="3" xfId="0" applyNumberFormat="1" applyFont="1" applyFill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0" fillId="0" borderId="0" xfId="0" quotePrefix="1" applyNumberFormat="1" applyAlignment="1">
      <alignment horizontal="center"/>
    </xf>
    <xf numFmtId="0" fontId="0" fillId="15" borderId="31" xfId="0" applyFill="1" applyBorder="1" applyAlignment="1" applyProtection="1"/>
    <xf numFmtId="0" fontId="0" fillId="15" borderId="32" xfId="0" applyFill="1" applyBorder="1" applyAlignment="1" applyProtection="1"/>
    <xf numFmtId="0" fontId="0" fillId="15" borderId="15" xfId="0" applyFill="1" applyBorder="1" applyAlignment="1" applyProtection="1"/>
    <xf numFmtId="0" fontId="0" fillId="15" borderId="22" xfId="0" applyFill="1" applyBorder="1" applyAlignment="1" applyProtection="1"/>
    <xf numFmtId="0" fontId="0" fillId="15" borderId="14" xfId="0" applyFill="1" applyBorder="1" applyAlignment="1" applyProtection="1"/>
    <xf numFmtId="0" fontId="1" fillId="0" borderId="0" xfId="0" applyFont="1" applyFill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4" fontId="0" fillId="0" borderId="0" xfId="0" applyNumberFormat="1" applyFill="1"/>
    <xf numFmtId="49" fontId="11" fillId="3" borderId="3" xfId="0" applyNumberFormat="1" applyFont="1" applyFill="1" applyBorder="1" applyAlignment="1">
      <alignment horizontal="center"/>
    </xf>
    <xf numFmtId="0" fontId="11" fillId="3" borderId="17" xfId="0" applyNumberFormat="1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NumberFormat="1" applyFont="1" applyFill="1" applyBorder="1" applyAlignment="1">
      <alignment horizontal="center"/>
    </xf>
    <xf numFmtId="14" fontId="11" fillId="3" borderId="2" xfId="0" applyNumberFormat="1" applyFont="1" applyFill="1" applyBorder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165" fontId="11" fillId="3" borderId="2" xfId="0" applyNumberFormat="1" applyFont="1" applyFill="1" applyBorder="1" applyAlignment="1">
      <alignment horizontal="center"/>
    </xf>
    <xf numFmtId="1" fontId="11" fillId="3" borderId="18" xfId="0" applyNumberFormat="1" applyFont="1" applyFill="1" applyBorder="1" applyAlignment="1">
      <alignment horizontal="center"/>
    </xf>
    <xf numFmtId="0" fontId="3" fillId="20" borderId="3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0" fontId="3" fillId="21" borderId="3" xfId="0" applyFont="1" applyFill="1" applyBorder="1" applyAlignment="1">
      <alignment horizontal="center" vertical="top"/>
    </xf>
    <xf numFmtId="0" fontId="11" fillId="3" borderId="0" xfId="0" applyFont="1" applyFill="1" applyAlignment="1">
      <alignment horizontal="center"/>
    </xf>
    <xf numFmtId="165" fontId="11" fillId="3" borderId="0" xfId="0" applyNumberFormat="1" applyFont="1" applyFill="1" applyAlignment="1">
      <alignment horizontal="center"/>
    </xf>
    <xf numFmtId="14" fontId="11" fillId="3" borderId="0" xfId="0" applyNumberFormat="1" applyFont="1" applyFill="1" applyAlignment="1">
      <alignment horizontal="center"/>
    </xf>
    <xf numFmtId="0" fontId="1" fillId="0" borderId="43" xfId="0" applyFont="1" applyBorder="1" applyAlignment="1">
      <alignment horizontal="center"/>
    </xf>
    <xf numFmtId="49" fontId="0" fillId="0" borderId="17" xfId="0" applyNumberFormat="1" applyFont="1" applyBorder="1" applyAlignment="1">
      <alignment horizontal="center"/>
    </xf>
    <xf numFmtId="0" fontId="1" fillId="0" borderId="17" xfId="0" applyNumberFormat="1" applyFon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27" fillId="18" borderId="3" xfId="0" applyFont="1" applyFill="1" applyBorder="1" applyAlignment="1">
      <alignment horizontal="center"/>
    </xf>
    <xf numFmtId="0" fontId="0" fillId="25" borderId="3" xfId="0" applyFont="1" applyFill="1" applyBorder="1" applyAlignment="1">
      <alignment horizontal="center"/>
    </xf>
    <xf numFmtId="0" fontId="0" fillId="0" borderId="0" xfId="0" applyProtection="1"/>
    <xf numFmtId="0" fontId="0" fillId="0" borderId="0" xfId="0" applyFill="1" applyProtection="1"/>
    <xf numFmtId="0" fontId="0" fillId="0" borderId="0" xfId="0" applyBorder="1" applyAlignment="1" applyProtection="1"/>
    <xf numFmtId="0" fontId="0" fillId="0" borderId="0" xfId="0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/>
    <xf numFmtId="0" fontId="28" fillId="0" borderId="0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14" fontId="0" fillId="0" borderId="0" xfId="0" applyNumberFormat="1" applyAlignment="1">
      <alignment horizontal="center" vertical="center"/>
    </xf>
    <xf numFmtId="14" fontId="11" fillId="3" borderId="0" xfId="0" applyNumberFormat="1" applyFont="1" applyFill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0" fontId="11" fillId="3" borderId="0" xfId="0" applyNumberFormat="1" applyFont="1" applyFill="1" applyAlignment="1">
      <alignment horizontal="center"/>
    </xf>
    <xf numFmtId="14" fontId="29" fillId="0" borderId="0" xfId="0" applyNumberFormat="1" applyFont="1"/>
    <xf numFmtId="0" fontId="0" fillId="0" borderId="0" xfId="0" applyAlignment="1">
      <alignment horizontal="center"/>
    </xf>
    <xf numFmtId="14" fontId="29" fillId="15" borderId="0" xfId="0" applyNumberFormat="1" applyFont="1" applyFill="1" applyProtection="1"/>
    <xf numFmtId="0" fontId="29" fillId="15" borderId="0" xfId="0" applyFont="1" applyFill="1" applyProtection="1"/>
    <xf numFmtId="14" fontId="1" fillId="0" borderId="3" xfId="0" applyNumberFormat="1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>
      <alignment horizontal="center"/>
    </xf>
    <xf numFmtId="0" fontId="0" fillId="0" borderId="13" xfId="0" applyBorder="1" applyAlignment="1" applyProtection="1">
      <alignment horizontal="center"/>
      <protection locked="0"/>
    </xf>
    <xf numFmtId="0" fontId="9" fillId="4" borderId="0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6" fillId="2" borderId="13" xfId="2" applyFill="1" applyBorder="1" applyAlignment="1" applyProtection="1">
      <alignment horizontal="center"/>
    </xf>
    <xf numFmtId="0" fontId="26" fillId="2" borderId="23" xfId="2" applyFill="1" applyBorder="1" applyAlignment="1" applyProtection="1">
      <alignment horizontal="center"/>
    </xf>
    <xf numFmtId="0" fontId="26" fillId="2" borderId="16" xfId="2" applyFill="1" applyBorder="1" applyAlignment="1" applyProtection="1">
      <alignment horizontal="center"/>
    </xf>
    <xf numFmtId="0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25" xfId="0" applyNumberFormat="1" applyFill="1" applyBorder="1" applyAlignment="1" applyProtection="1">
      <alignment horizontal="center" vertical="center"/>
      <protection locked="0"/>
    </xf>
    <xf numFmtId="49" fontId="0" fillId="2" borderId="26" xfId="0" applyNumberFormat="1" applyFill="1" applyBorder="1" applyAlignment="1" applyProtection="1">
      <alignment horizontal="center" vertical="center"/>
      <protection locked="0"/>
    </xf>
    <xf numFmtId="0" fontId="19" fillId="15" borderId="0" xfId="0" applyFont="1" applyFill="1" applyBorder="1" applyAlignment="1" applyProtection="1">
      <alignment horizontal="center" vertical="center"/>
    </xf>
    <xf numFmtId="0" fontId="0" fillId="15" borderId="19" xfId="0" applyNumberFormat="1" applyFill="1" applyBorder="1" applyAlignment="1" applyProtection="1">
      <alignment horizontal="center" vertical="center"/>
    </xf>
    <xf numFmtId="0" fontId="0" fillId="15" borderId="25" xfId="0" applyNumberFormat="1" applyFill="1" applyBorder="1" applyAlignment="1" applyProtection="1">
      <alignment horizontal="center" vertical="center"/>
    </xf>
    <xf numFmtId="0" fontId="0" fillId="15" borderId="26" xfId="0" applyNumberFormat="1" applyFill="1" applyBorder="1" applyAlignment="1" applyProtection="1">
      <alignment horizontal="center" vertical="center"/>
    </xf>
    <xf numFmtId="0" fontId="0" fillId="13" borderId="19" xfId="0" applyNumberFormat="1" applyFill="1" applyBorder="1" applyAlignment="1" applyProtection="1">
      <alignment horizontal="center" vertical="center"/>
      <protection locked="0"/>
    </xf>
    <xf numFmtId="0" fontId="0" fillId="13" borderId="25" xfId="0" applyNumberFormat="1" applyFill="1" applyBorder="1" applyAlignment="1" applyProtection="1">
      <alignment horizontal="center" vertical="center"/>
      <protection locked="0"/>
    </xf>
    <xf numFmtId="0" fontId="0" fillId="13" borderId="26" xfId="0" applyNumberFormat="1" applyFill="1" applyBorder="1" applyAlignment="1" applyProtection="1">
      <alignment horizontal="center" vertical="center"/>
      <protection locked="0"/>
    </xf>
    <xf numFmtId="0" fontId="18" fillId="2" borderId="13" xfId="0" applyFont="1" applyFill="1" applyBorder="1" applyAlignment="1" applyProtection="1">
      <alignment horizontal="center"/>
    </xf>
    <xf numFmtId="0" fontId="18" fillId="2" borderId="23" xfId="0" applyFont="1" applyFill="1" applyBorder="1" applyAlignment="1" applyProtection="1">
      <alignment horizontal="center"/>
    </xf>
    <xf numFmtId="0" fontId="18" fillId="2" borderId="16" xfId="0" applyFont="1" applyFill="1" applyBorder="1" applyAlignment="1" applyProtection="1">
      <alignment horizontal="center"/>
    </xf>
    <xf numFmtId="0" fontId="18" fillId="15" borderId="13" xfId="0" applyFont="1" applyFill="1" applyBorder="1" applyAlignment="1" applyProtection="1">
      <alignment horizontal="center"/>
    </xf>
    <xf numFmtId="0" fontId="18" fillId="15" borderId="23" xfId="0" applyFont="1" applyFill="1" applyBorder="1" applyAlignment="1" applyProtection="1">
      <alignment horizontal="center"/>
    </xf>
    <xf numFmtId="0" fontId="18" fillId="15" borderId="16" xfId="0" applyFont="1" applyFill="1" applyBorder="1" applyAlignment="1" applyProtection="1">
      <alignment horizontal="center"/>
    </xf>
    <xf numFmtId="49" fontId="0" fillId="15" borderId="25" xfId="0" applyNumberFormat="1" applyFill="1" applyBorder="1" applyAlignment="1" applyProtection="1">
      <alignment horizontal="center" vertical="center"/>
    </xf>
    <xf numFmtId="49" fontId="0" fillId="15" borderId="26" xfId="0" applyNumberFormat="1" applyFill="1" applyBorder="1" applyAlignment="1" applyProtection="1">
      <alignment horizontal="center" vertical="center"/>
    </xf>
    <xf numFmtId="0" fontId="29" fillId="3" borderId="31" xfId="0" applyFont="1" applyFill="1" applyBorder="1" applyAlignment="1" applyProtection="1">
      <alignment horizontal="center"/>
      <protection locked="0"/>
    </xf>
    <xf numFmtId="0" fontId="29" fillId="3" borderId="0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top"/>
    </xf>
  </cellXfs>
  <cellStyles count="3">
    <cellStyle name="Cálculo" xfId="1" builtinId="22"/>
    <cellStyle name="Normal" xfId="0" builtinId="0"/>
    <cellStyle name="Título 4" xfId="2" builtinId="19"/>
  </cellStyles>
  <dxfs count="27">
    <dxf>
      <font>
        <color theme="1"/>
      </font>
      <fill>
        <patternFill>
          <fgColor theme="1" tint="4.9989318521683403E-2"/>
          <bgColor theme="7" tint="0.39994506668294322"/>
        </patternFill>
      </fill>
    </dxf>
    <dxf>
      <font>
        <color theme="1"/>
      </font>
      <fill>
        <patternFill>
          <fgColor theme="1" tint="4.9989318521683403E-2"/>
          <bgColor rgb="FFD691EB"/>
        </patternFill>
      </fill>
    </dxf>
    <dxf>
      <font>
        <color theme="1"/>
      </font>
      <fill>
        <patternFill>
          <fgColor theme="1" tint="4.9989318521683403E-2"/>
          <bgColor rgb="FFF96767"/>
        </patternFill>
      </fill>
    </dxf>
    <dxf>
      <font>
        <color theme="1"/>
      </font>
      <fill>
        <patternFill>
          <fgColor theme="1"/>
          <bgColor theme="9" tint="-0.24994659260841701"/>
        </patternFill>
      </fill>
    </dxf>
    <dxf>
      <font>
        <color rgb="FF2FE4ED"/>
      </font>
      <fill>
        <patternFill>
          <bgColor theme="1" tint="4.9989318521683403E-2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8B324B53-CFC3-4879-92B3-E16A5DE4A057}"/>
  </tableStyles>
  <colors>
    <mruColors>
      <color rgb="FF000099"/>
      <color rgb="FF2FE4ED"/>
      <color rgb="FFF96767"/>
      <color rgb="FFD691EB"/>
      <color rgb="FF9E5ECE"/>
      <color rgb="FFFF4B4B"/>
      <color rgb="FFFF8181"/>
      <color rgb="FFFFFFFF"/>
      <color rgb="FF552579"/>
      <color rgb="FF5800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Produtos!A1"/><Relationship Id="rId12" Type="http://schemas.openxmlformats.org/officeDocument/2006/relationships/image" Target="../media/image6.png"/><Relationship Id="rId2" Type="http://schemas.openxmlformats.org/officeDocument/2006/relationships/hyperlink" Target="#Clientes!A1"/><Relationship Id="rId1" Type="http://schemas.openxmlformats.org/officeDocument/2006/relationships/image" Target="../media/image1.png"/><Relationship Id="rId6" Type="http://schemas.openxmlformats.org/officeDocument/2006/relationships/hyperlink" Target="#Vendedores!A1"/><Relationship Id="rId11" Type="http://schemas.openxmlformats.org/officeDocument/2006/relationships/hyperlink" Target="#Expedi&#231;&#227;o!A1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hyperlink" Target="#Cadastro_Pedido!A1"/><Relationship Id="rId9" Type="http://schemas.openxmlformats.org/officeDocument/2006/relationships/hyperlink" Target="#Produ&#231;&#227;o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7.png"/><Relationship Id="rId7" Type="http://schemas.openxmlformats.org/officeDocument/2006/relationships/hyperlink" Target="#Produ&#231;&#227;o!A1"/><Relationship Id="rId2" Type="http://schemas.openxmlformats.org/officeDocument/2006/relationships/hyperlink" Target="#In&#237;cio!A1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hyperlink" Target="#Expedi&#231;&#227;o!A1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rodu&#231;&#227;o!A1"/><Relationship Id="rId3" Type="http://schemas.openxmlformats.org/officeDocument/2006/relationships/image" Target="../media/image7.png"/><Relationship Id="rId7" Type="http://schemas.openxmlformats.org/officeDocument/2006/relationships/image" Target="../media/image6.png"/><Relationship Id="rId2" Type="http://schemas.openxmlformats.org/officeDocument/2006/relationships/hyperlink" Target="#In&#237;cio!A1"/><Relationship Id="rId1" Type="http://schemas.openxmlformats.org/officeDocument/2006/relationships/image" Target="../media/image1.png"/><Relationship Id="rId6" Type="http://schemas.openxmlformats.org/officeDocument/2006/relationships/hyperlink" Target="#Expedi&#231;&#227;o!A1"/><Relationship Id="rId5" Type="http://schemas.openxmlformats.org/officeDocument/2006/relationships/image" Target="../media/image3.png"/><Relationship Id="rId4" Type="http://schemas.openxmlformats.org/officeDocument/2006/relationships/image" Target="../media/image8.png"/><Relationship Id="rId9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Produ&#231;&#227;o!A1"/><Relationship Id="rId3" Type="http://schemas.openxmlformats.org/officeDocument/2006/relationships/image" Target="../media/image7.png"/><Relationship Id="rId7" Type="http://schemas.openxmlformats.org/officeDocument/2006/relationships/image" Target="../media/image6.png"/><Relationship Id="rId2" Type="http://schemas.openxmlformats.org/officeDocument/2006/relationships/hyperlink" Target="#In&#237;cio!A1"/><Relationship Id="rId1" Type="http://schemas.openxmlformats.org/officeDocument/2006/relationships/image" Target="../media/image1.png"/><Relationship Id="rId6" Type="http://schemas.openxmlformats.org/officeDocument/2006/relationships/hyperlink" Target="#Expedi&#231;&#227;o!A1"/><Relationship Id="rId5" Type="http://schemas.openxmlformats.org/officeDocument/2006/relationships/image" Target="../media/image3.png"/><Relationship Id="rId4" Type="http://schemas.openxmlformats.org/officeDocument/2006/relationships/image" Target="../media/image8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Produ&#231;&#227;o!A1"/><Relationship Id="rId3" Type="http://schemas.openxmlformats.org/officeDocument/2006/relationships/hyperlink" Target="#In&#237;cio!A1"/><Relationship Id="rId7" Type="http://schemas.openxmlformats.org/officeDocument/2006/relationships/image" Target="../media/image6.png"/><Relationship Id="rId2" Type="http://schemas.openxmlformats.org/officeDocument/2006/relationships/image" Target="../media/image8.png"/><Relationship Id="rId1" Type="http://schemas.openxmlformats.org/officeDocument/2006/relationships/image" Target="../media/image1.png"/><Relationship Id="rId6" Type="http://schemas.openxmlformats.org/officeDocument/2006/relationships/hyperlink" Target="#Expedi&#231;&#227;o!A1"/><Relationship Id="rId5" Type="http://schemas.openxmlformats.org/officeDocument/2006/relationships/image" Target="../media/image3.png"/><Relationship Id="rId4" Type="http://schemas.openxmlformats.org/officeDocument/2006/relationships/image" Target="../media/image7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#Expedi&#231;&#227;o!A1"/><Relationship Id="rId7" Type="http://schemas.openxmlformats.org/officeDocument/2006/relationships/hyperlink" Target="#Cadastro_Pedido!A1"/><Relationship Id="rId2" Type="http://schemas.openxmlformats.org/officeDocument/2006/relationships/image" Target="../media/image3.png"/><Relationship Id="rId1" Type="http://schemas.openxmlformats.org/officeDocument/2006/relationships/hyperlink" Target="#In&#237;cio!A1"/><Relationship Id="rId6" Type="http://schemas.openxmlformats.org/officeDocument/2006/relationships/image" Target="../media/image5.png"/><Relationship Id="rId5" Type="http://schemas.openxmlformats.org/officeDocument/2006/relationships/hyperlink" Target="#Produ&#231;&#227;o!A1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In&#237;cio!A1"/><Relationship Id="rId7" Type="http://schemas.openxmlformats.org/officeDocument/2006/relationships/hyperlink" Target="#Produ&#231;&#227;o!A1"/><Relationship Id="rId2" Type="http://schemas.openxmlformats.org/officeDocument/2006/relationships/image" Target="../media/image7.png"/><Relationship Id="rId1" Type="http://schemas.openxmlformats.org/officeDocument/2006/relationships/hyperlink" Target="#Cadastro!A1"/><Relationship Id="rId6" Type="http://schemas.openxmlformats.org/officeDocument/2006/relationships/image" Target="../media/image6.png"/><Relationship Id="rId5" Type="http://schemas.openxmlformats.org/officeDocument/2006/relationships/hyperlink" Target="#Expedi&#231;&#227;o!A1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443865</xdr:colOff>
      <xdr:row>0</xdr:row>
      <xdr:rowOff>0</xdr:rowOff>
    </xdr:from>
    <xdr:to>
      <xdr:col>11</xdr:col>
      <xdr:colOff>500380</xdr:colOff>
      <xdr:row>10</xdr:row>
      <xdr:rowOff>49530</xdr:rowOff>
    </xdr:to>
    <xdr:pic>
      <xdr:nvPicPr>
        <xdr:cNvPr id="2" name="Imagem 1" descr="ACA TUBOS">
          <a:extLst>
            <a:ext uri="{FF2B5EF4-FFF2-40B4-BE49-F238E27FC236}">
              <a16:creationId xmlns:a16="http://schemas.microsoft.com/office/drawing/2014/main" id="{2EFF7390-4F02-4D40-A71F-A544D8CF9A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320665" y="0"/>
          <a:ext cx="1885315" cy="187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449580</xdr:colOff>
      <xdr:row>11</xdr:row>
      <xdr:rowOff>34290</xdr:rowOff>
    </xdr:from>
    <xdr:to>
      <xdr:col>7</xdr:col>
      <xdr:colOff>554355</xdr:colOff>
      <xdr:row>17</xdr:row>
      <xdr:rowOff>34290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664D2965-0A8D-457C-8181-083B246C7CE9}"/>
            </a:ext>
          </a:extLst>
        </xdr:cNvPr>
        <xdr:cNvSpPr/>
      </xdr:nvSpPr>
      <xdr:spPr>
        <a:xfrm>
          <a:off x="2278380" y="2045970"/>
          <a:ext cx="254317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pt-BR" altLang="en-US" sz="1100"/>
        </a:p>
      </xdr:txBody>
    </xdr:sp>
    <xdr:clientData/>
  </xdr:twoCellAnchor>
  <xdr:twoCellAnchor>
    <xdr:from>
      <xdr:col>8</xdr:col>
      <xdr:colOff>154305</xdr:colOff>
      <xdr:row>18</xdr:row>
      <xdr:rowOff>22860</xdr:rowOff>
    </xdr:from>
    <xdr:to>
      <xdr:col>12</xdr:col>
      <xdr:colOff>243840</xdr:colOff>
      <xdr:row>24</xdr:row>
      <xdr:rowOff>22860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A0A638A8-A23D-4325-93BF-A49BF1C1BA0F}"/>
            </a:ext>
          </a:extLst>
        </xdr:cNvPr>
        <xdr:cNvSpPr/>
      </xdr:nvSpPr>
      <xdr:spPr>
        <a:xfrm>
          <a:off x="5031105" y="3314700"/>
          <a:ext cx="252793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pt-BR" altLang="en-US" sz="1100"/>
        </a:p>
      </xdr:txBody>
    </xdr:sp>
    <xdr:clientData/>
  </xdr:twoCellAnchor>
  <xdr:twoCellAnchor>
    <xdr:from>
      <xdr:col>3</xdr:col>
      <xdr:colOff>483870</xdr:colOff>
      <xdr:row>18</xdr:row>
      <xdr:rowOff>36195</xdr:rowOff>
    </xdr:from>
    <xdr:to>
      <xdr:col>7</xdr:col>
      <xdr:colOff>573405</xdr:colOff>
      <xdr:row>24</xdr:row>
      <xdr:rowOff>36195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AE90A9B4-98EF-40E2-A9AB-2E122D866930}"/>
            </a:ext>
          </a:extLst>
        </xdr:cNvPr>
        <xdr:cNvSpPr/>
      </xdr:nvSpPr>
      <xdr:spPr>
        <a:xfrm>
          <a:off x="2312670" y="3328035"/>
          <a:ext cx="252793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pt-BR" altLang="en-US" sz="1100"/>
        </a:p>
      </xdr:txBody>
    </xdr:sp>
    <xdr:clientData/>
  </xdr:twoCellAnchor>
  <xdr:twoCellAnchor>
    <xdr:from>
      <xdr:col>12</xdr:col>
      <xdr:colOff>407670</xdr:colOff>
      <xdr:row>18</xdr:row>
      <xdr:rowOff>28575</xdr:rowOff>
    </xdr:from>
    <xdr:to>
      <xdr:col>16</xdr:col>
      <xdr:colOff>497205</xdr:colOff>
      <xdr:row>24</xdr:row>
      <xdr:rowOff>28575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73CB5A26-AE28-4BF8-9B85-FEB7FB2FC9F2}"/>
            </a:ext>
          </a:extLst>
        </xdr:cNvPr>
        <xdr:cNvSpPr/>
      </xdr:nvSpPr>
      <xdr:spPr>
        <a:xfrm>
          <a:off x="7722870" y="3320415"/>
          <a:ext cx="252793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vert="horz" wrap="square" numCol="1" spcCol="0" rtlCol="0" fromWordArt="0" anchor="t" anchorCtr="0" forceAA="0" compatLnSpc="1">
          <a:noAutofit/>
        </a:bodyPr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buClrTx/>
            <a:buSzTx/>
            <a:buFontTx/>
          </a:pPr>
          <a:endParaRPr lang="pt-BR" altLang="en-US" sz="1100"/>
        </a:p>
      </xdr:txBody>
    </xdr:sp>
    <xdr:clientData/>
  </xdr:twoCellAnchor>
  <xdr:twoCellAnchor editAs="oneCell">
    <xdr:from>
      <xdr:col>10</xdr:col>
      <xdr:colOff>12065</xdr:colOff>
      <xdr:row>19</xdr:row>
      <xdr:rowOff>19050</xdr:rowOff>
    </xdr:from>
    <xdr:to>
      <xdr:col>10</xdr:col>
      <xdr:colOff>465455</xdr:colOff>
      <xdr:row>21</xdr:row>
      <xdr:rowOff>68580</xdr:rowOff>
    </xdr:to>
    <xdr:pic>
      <xdr:nvPicPr>
        <xdr:cNvPr id="8" name="Imagem 7" descr="add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80061C-20D9-426B-83AC-16B7F47EA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08065" y="3493770"/>
          <a:ext cx="453390" cy="415290"/>
        </a:xfrm>
        <a:prstGeom prst="rect">
          <a:avLst/>
        </a:prstGeom>
      </xdr:spPr>
    </xdr:pic>
    <xdr:clientData/>
  </xdr:twoCellAnchor>
  <xdr:twoCellAnchor editAs="oneCell">
    <xdr:from>
      <xdr:col>5</xdr:col>
      <xdr:colOff>251460</xdr:colOff>
      <xdr:row>11</xdr:row>
      <xdr:rowOff>165100</xdr:rowOff>
    </xdr:from>
    <xdr:to>
      <xdr:col>6</xdr:col>
      <xdr:colOff>121920</xdr:colOff>
      <xdr:row>14</xdr:row>
      <xdr:rowOff>49530</xdr:rowOff>
    </xdr:to>
    <xdr:pic>
      <xdr:nvPicPr>
        <xdr:cNvPr id="11" name="Imagem 10" descr="checklist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9BDAD3-3848-447F-8C9E-9ECE826FF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99460" y="2176780"/>
          <a:ext cx="480060" cy="433070"/>
        </a:xfrm>
        <a:prstGeom prst="rect">
          <a:avLst/>
        </a:prstGeom>
      </xdr:spPr>
    </xdr:pic>
    <xdr:clientData/>
  </xdr:twoCellAnchor>
  <xdr:twoCellAnchor>
    <xdr:from>
      <xdr:col>4</xdr:col>
      <xdr:colOff>200025</xdr:colOff>
      <xdr:row>14</xdr:row>
      <xdr:rowOff>161290</xdr:rowOff>
    </xdr:from>
    <xdr:to>
      <xdr:col>7</xdr:col>
      <xdr:colOff>274320</xdr:colOff>
      <xdr:row>16</xdr:row>
      <xdr:rowOff>106680</xdr:rowOff>
    </xdr:to>
    <xdr:sp macro="" textlink="">
      <xdr:nvSpPr>
        <xdr:cNvPr id="13" name="Caixa de Texto 13">
          <a:extLst>
            <a:ext uri="{FF2B5EF4-FFF2-40B4-BE49-F238E27FC236}">
              <a16:creationId xmlns:a16="http://schemas.microsoft.com/office/drawing/2014/main" id="{A03A0EB2-72DE-4520-B4B2-D6D2CF5ACAE0}"/>
            </a:ext>
          </a:extLst>
        </xdr:cNvPr>
        <xdr:cNvSpPr txBox="1"/>
      </xdr:nvSpPr>
      <xdr:spPr>
        <a:xfrm>
          <a:off x="2638425" y="2721610"/>
          <a:ext cx="1903095" cy="31115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 PEDIDO</a:t>
          </a:r>
          <a:endParaRPr lang="pt-BR" altLang="en-US" sz="1100">
            <a:solidFill>
              <a:schemeClr val="bg1"/>
            </a:solidFill>
          </a:endParaRPr>
        </a:p>
        <a:p>
          <a:pPr algn="l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520065</xdr:colOff>
      <xdr:row>21</xdr:row>
      <xdr:rowOff>159385</xdr:rowOff>
    </xdr:from>
    <xdr:to>
      <xdr:col>11</xdr:col>
      <xdr:colOff>594360</xdr:colOff>
      <xdr:row>23</xdr:row>
      <xdr:rowOff>104775</xdr:rowOff>
    </xdr:to>
    <xdr:sp macro="" textlink="">
      <xdr:nvSpPr>
        <xdr:cNvPr id="15" name="Caixa de Texto 13">
          <a:extLst>
            <a:ext uri="{FF2B5EF4-FFF2-40B4-BE49-F238E27FC236}">
              <a16:creationId xmlns:a16="http://schemas.microsoft.com/office/drawing/2014/main" id="{8CC581B0-E2D8-44EB-B886-A32A6C930F77}"/>
            </a:ext>
          </a:extLst>
        </xdr:cNvPr>
        <xdr:cNvSpPr txBox="1"/>
      </xdr:nvSpPr>
      <xdr:spPr>
        <a:xfrm>
          <a:off x="5396865" y="3999865"/>
          <a:ext cx="1903095" cy="31115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 CLIENTE</a:t>
          </a:r>
          <a:endParaRPr lang="pt-BR" altLang="en-US" sz="1100">
            <a:solidFill>
              <a:schemeClr val="bg1"/>
            </a:solidFill>
          </a:endParaRPr>
        </a:p>
        <a:p>
          <a:pPr algn="l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184785</xdr:colOff>
      <xdr:row>21</xdr:row>
      <xdr:rowOff>161290</xdr:rowOff>
    </xdr:from>
    <xdr:to>
      <xdr:col>7</xdr:col>
      <xdr:colOff>259080</xdr:colOff>
      <xdr:row>23</xdr:row>
      <xdr:rowOff>106680</xdr:rowOff>
    </xdr:to>
    <xdr:sp macro="" textlink="">
      <xdr:nvSpPr>
        <xdr:cNvPr id="16" name="Caixa de Texto 13">
          <a:extLst>
            <a:ext uri="{FF2B5EF4-FFF2-40B4-BE49-F238E27FC236}">
              <a16:creationId xmlns:a16="http://schemas.microsoft.com/office/drawing/2014/main" id="{4296FBC7-D36D-47A0-A44D-BD83382B2FE8}"/>
            </a:ext>
          </a:extLst>
        </xdr:cNvPr>
        <xdr:cNvSpPr txBox="1"/>
      </xdr:nvSpPr>
      <xdr:spPr>
        <a:xfrm>
          <a:off x="2623185" y="4001770"/>
          <a:ext cx="1903095" cy="31115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 PRODUTO</a:t>
          </a:r>
          <a:endParaRPr lang="pt-BR" altLang="en-US" sz="1100">
            <a:solidFill>
              <a:schemeClr val="bg1"/>
            </a:solidFill>
          </a:endParaRPr>
        </a:p>
        <a:p>
          <a:pPr algn="l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542925</xdr:colOff>
      <xdr:row>21</xdr:row>
      <xdr:rowOff>153670</xdr:rowOff>
    </xdr:from>
    <xdr:to>
      <xdr:col>16</xdr:col>
      <xdr:colOff>441960</xdr:colOff>
      <xdr:row>23</xdr:row>
      <xdr:rowOff>99060</xdr:rowOff>
    </xdr:to>
    <xdr:sp macro="" textlink="">
      <xdr:nvSpPr>
        <xdr:cNvPr id="17" name="Caixa de Texto 13">
          <a:extLst>
            <a:ext uri="{FF2B5EF4-FFF2-40B4-BE49-F238E27FC236}">
              <a16:creationId xmlns:a16="http://schemas.microsoft.com/office/drawing/2014/main" id="{C56CEC4B-634F-4BE2-A9E8-335528D5A998}"/>
            </a:ext>
          </a:extLst>
        </xdr:cNvPr>
        <xdr:cNvSpPr txBox="1"/>
      </xdr:nvSpPr>
      <xdr:spPr>
        <a:xfrm>
          <a:off x="7858125" y="3994150"/>
          <a:ext cx="2337435" cy="31115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 VENDEDOR</a:t>
          </a:r>
          <a:endParaRPr lang="pt-BR" altLang="en-US" sz="1100">
            <a:solidFill>
              <a:schemeClr val="bg1"/>
            </a:solidFill>
          </a:endParaRPr>
        </a:p>
        <a:p>
          <a:pPr algn="l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220980</xdr:colOff>
      <xdr:row>19</xdr:row>
      <xdr:rowOff>45720</xdr:rowOff>
    </xdr:from>
    <xdr:to>
      <xdr:col>15</xdr:col>
      <xdr:colOff>64770</xdr:colOff>
      <xdr:row>21</xdr:row>
      <xdr:rowOff>95250</xdr:rowOff>
    </xdr:to>
    <xdr:pic>
      <xdr:nvPicPr>
        <xdr:cNvPr id="18" name="Imagem 17" descr="add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2450AB7-7F44-4E71-B309-1EB9741D4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55380" y="3520440"/>
          <a:ext cx="453390" cy="415290"/>
        </a:xfrm>
        <a:prstGeom prst="rect">
          <a:avLst/>
        </a:prstGeom>
      </xdr:spPr>
    </xdr:pic>
    <xdr:clientData/>
  </xdr:twoCellAnchor>
  <xdr:twoCellAnchor editAs="oneCell">
    <xdr:from>
      <xdr:col>5</xdr:col>
      <xdr:colOff>259690</xdr:colOff>
      <xdr:row>19</xdr:row>
      <xdr:rowOff>0</xdr:rowOff>
    </xdr:from>
    <xdr:to>
      <xdr:col>6</xdr:col>
      <xdr:colOff>152400</xdr:colOff>
      <xdr:row>21</xdr:row>
      <xdr:rowOff>136550</xdr:rowOff>
    </xdr:to>
    <xdr:pic>
      <xdr:nvPicPr>
        <xdr:cNvPr id="10" name="Imagem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EE93972-02D6-4504-9542-587DA8E48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690" y="3474720"/>
          <a:ext cx="502310" cy="502310"/>
        </a:xfrm>
        <a:prstGeom prst="rect">
          <a:avLst/>
        </a:prstGeom>
      </xdr:spPr>
    </xdr:pic>
    <xdr:clientData/>
  </xdr:twoCellAnchor>
  <xdr:twoCellAnchor>
    <xdr:from>
      <xdr:col>12</xdr:col>
      <xdr:colOff>411480</xdr:colOff>
      <xdr:row>11</xdr:row>
      <xdr:rowOff>26670</xdr:rowOff>
    </xdr:from>
    <xdr:to>
      <xdr:col>16</xdr:col>
      <xdr:colOff>516255</xdr:colOff>
      <xdr:row>17</xdr:row>
      <xdr:rowOff>26670</xdr:rowOff>
    </xdr:to>
    <xdr:sp macro="" textlink="">
      <xdr:nvSpPr>
        <xdr:cNvPr id="19" name="Retângulo arredondado 2">
          <a:extLst>
            <a:ext uri="{FF2B5EF4-FFF2-40B4-BE49-F238E27FC236}">
              <a16:creationId xmlns:a16="http://schemas.microsoft.com/office/drawing/2014/main" id="{124E3303-41AA-4AA1-82AE-53D33E078B04}"/>
            </a:ext>
          </a:extLst>
        </xdr:cNvPr>
        <xdr:cNvSpPr/>
      </xdr:nvSpPr>
      <xdr:spPr>
        <a:xfrm>
          <a:off x="7726680" y="2038350"/>
          <a:ext cx="254317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pt-BR" altLang="en-US" sz="1100"/>
        </a:p>
      </xdr:txBody>
    </xdr:sp>
    <xdr:clientData/>
  </xdr:twoCellAnchor>
  <xdr:twoCellAnchor>
    <xdr:from>
      <xdr:col>8</xdr:col>
      <xdr:colOff>121920</xdr:colOff>
      <xdr:row>11</xdr:row>
      <xdr:rowOff>32385</xdr:rowOff>
    </xdr:from>
    <xdr:to>
      <xdr:col>12</xdr:col>
      <xdr:colOff>226695</xdr:colOff>
      <xdr:row>17</xdr:row>
      <xdr:rowOff>32385</xdr:rowOff>
    </xdr:to>
    <xdr:sp macro="" textlink="">
      <xdr:nvSpPr>
        <xdr:cNvPr id="20" name="Retângulo arredondado 2">
          <a:extLst>
            <a:ext uri="{FF2B5EF4-FFF2-40B4-BE49-F238E27FC236}">
              <a16:creationId xmlns:a16="http://schemas.microsoft.com/office/drawing/2014/main" id="{C98AA0BD-6008-4279-ADA7-D5FADDDC1619}"/>
            </a:ext>
          </a:extLst>
        </xdr:cNvPr>
        <xdr:cNvSpPr/>
      </xdr:nvSpPr>
      <xdr:spPr>
        <a:xfrm>
          <a:off x="4998720" y="2044065"/>
          <a:ext cx="2543175" cy="1097280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pt-BR" altLang="en-US" sz="1100"/>
        </a:p>
      </xdr:txBody>
    </xdr:sp>
    <xdr:clientData/>
  </xdr:twoCellAnchor>
  <xdr:twoCellAnchor>
    <xdr:from>
      <xdr:col>9</xdr:col>
      <xdr:colOff>182880</xdr:colOff>
      <xdr:row>14</xdr:row>
      <xdr:rowOff>150985</xdr:rowOff>
    </xdr:from>
    <xdr:to>
      <xdr:col>11</xdr:col>
      <xdr:colOff>198120</xdr:colOff>
      <xdr:row>16</xdr:row>
      <xdr:rowOff>22860</xdr:rowOff>
    </xdr:to>
    <xdr:sp macro="" textlink="">
      <xdr:nvSpPr>
        <xdr:cNvPr id="21" name="Caixa de Texto 57">
          <a:extLst>
            <a:ext uri="{FF2B5EF4-FFF2-40B4-BE49-F238E27FC236}">
              <a16:creationId xmlns:a16="http://schemas.microsoft.com/office/drawing/2014/main" id="{8CCEEA6C-A3DA-4871-A863-21B673053F5D}"/>
            </a:ext>
          </a:extLst>
        </xdr:cNvPr>
        <xdr:cNvSpPr txBox="1"/>
      </xdr:nvSpPr>
      <xdr:spPr>
        <a:xfrm>
          <a:off x="5669280" y="2711305"/>
          <a:ext cx="1234440" cy="23763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9</xdr:col>
      <xdr:colOff>523130</xdr:colOff>
      <xdr:row>11</xdr:row>
      <xdr:rowOff>163829</xdr:rowOff>
    </xdr:from>
    <xdr:to>
      <xdr:col>10</xdr:col>
      <xdr:colOff>411480</xdr:colOff>
      <xdr:row>14</xdr:row>
      <xdr:rowOff>103744</xdr:rowOff>
    </xdr:to>
    <xdr:pic>
      <xdr:nvPicPr>
        <xdr:cNvPr id="22" name="Imagem 21" descr="productio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6AA8F1B-1D0C-4C37-A07E-611399753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09530" y="2175509"/>
          <a:ext cx="497950" cy="488555"/>
        </a:xfrm>
        <a:prstGeom prst="rect">
          <a:avLst/>
        </a:prstGeom>
      </xdr:spPr>
    </xdr:pic>
    <xdr:clientData/>
  </xdr:twoCellAnchor>
  <xdr:twoCellAnchor>
    <xdr:from>
      <xdr:col>13</xdr:col>
      <xdr:colOff>525780</xdr:colOff>
      <xdr:row>14</xdr:row>
      <xdr:rowOff>153341</xdr:rowOff>
    </xdr:from>
    <xdr:to>
      <xdr:col>15</xdr:col>
      <xdr:colOff>426419</xdr:colOff>
      <xdr:row>15</xdr:row>
      <xdr:rowOff>179266</xdr:rowOff>
    </xdr:to>
    <xdr:sp macro="" textlink="">
      <xdr:nvSpPr>
        <xdr:cNvPr id="23" name="Caixa de Texto 59">
          <a:extLst>
            <a:ext uri="{FF2B5EF4-FFF2-40B4-BE49-F238E27FC236}">
              <a16:creationId xmlns:a16="http://schemas.microsoft.com/office/drawing/2014/main" id="{F34757D6-30A3-419F-A591-1241B464A9F1}"/>
            </a:ext>
          </a:extLst>
        </xdr:cNvPr>
        <xdr:cNvSpPr txBox="1"/>
      </xdr:nvSpPr>
      <xdr:spPr>
        <a:xfrm>
          <a:off x="8450580" y="2713661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14</xdr:col>
      <xdr:colOff>106680</xdr:colOff>
      <xdr:row>11</xdr:row>
      <xdr:rowOff>82750</xdr:rowOff>
    </xdr:from>
    <xdr:to>
      <xdr:col>15</xdr:col>
      <xdr:colOff>106680</xdr:colOff>
      <xdr:row>14</xdr:row>
      <xdr:rowOff>145525</xdr:rowOff>
    </xdr:to>
    <xdr:pic>
      <xdr:nvPicPr>
        <xdr:cNvPr id="24" name="Imagem 23" descr="delivery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1D25475-2F28-44D9-A6BF-44897AF01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41080" y="2094430"/>
          <a:ext cx="609600" cy="61141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97833</xdr:colOff>
      <xdr:row>10</xdr:row>
      <xdr:rowOff>53340</xdr:rowOff>
    </xdr:from>
    <xdr:to>
      <xdr:col>5</xdr:col>
      <xdr:colOff>736495</xdr:colOff>
      <xdr:row>16</xdr:row>
      <xdr:rowOff>129540</xdr:rowOff>
    </xdr:to>
    <xdr:pic>
      <xdr:nvPicPr>
        <xdr:cNvPr id="6" name="Imagem 5" descr="ACA TUBOS">
          <a:extLst>
            <a:ext uri="{FF2B5EF4-FFF2-40B4-BE49-F238E27FC236}">
              <a16:creationId xmlns:a16="http://schemas.microsoft.com/office/drawing/2014/main" id="{AE9816FB-BFB9-4FBF-9F7E-BAB6B6BA5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6173" y="1912620"/>
          <a:ext cx="1248262" cy="1234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335280</xdr:colOff>
      <xdr:row>14</xdr:row>
      <xdr:rowOff>121920</xdr:rowOff>
    </xdr:from>
    <xdr:to>
      <xdr:col>7</xdr:col>
      <xdr:colOff>1714500</xdr:colOff>
      <xdr:row>16</xdr:row>
      <xdr:rowOff>8068</xdr:rowOff>
    </xdr:to>
    <xdr:sp macro="[0]!CadastrarCliente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1434EE-DCD9-4876-80D4-FD6A8A2686AA}"/>
            </a:ext>
          </a:extLst>
        </xdr:cNvPr>
        <xdr:cNvSpPr/>
      </xdr:nvSpPr>
      <xdr:spPr>
        <a:xfrm>
          <a:off x="8854440" y="2773680"/>
          <a:ext cx="1379220" cy="251908"/>
        </a:xfrm>
        <a:prstGeom prst="roundRect">
          <a:avLst/>
        </a:prstGeom>
        <a:solidFill>
          <a:srgbClr val="0070C0"/>
        </a:solidFill>
        <a:ln>
          <a:solidFill>
            <a:srgbClr val="21326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CADASTRAR</a:t>
          </a:r>
        </a:p>
      </xdr:txBody>
    </xdr:sp>
    <xdr:clientData/>
  </xdr:twoCellAnchor>
  <xdr:twoCellAnchor editAs="oneCell">
    <xdr:from>
      <xdr:col>0</xdr:col>
      <xdr:colOff>68580</xdr:colOff>
      <xdr:row>0</xdr:row>
      <xdr:rowOff>152400</xdr:rowOff>
    </xdr:from>
    <xdr:to>
      <xdr:col>0</xdr:col>
      <xdr:colOff>446980</xdr:colOff>
      <xdr:row>2</xdr:row>
      <xdr:rowOff>144780</xdr:rowOff>
    </xdr:to>
    <xdr:pic>
      <xdr:nvPicPr>
        <xdr:cNvPr id="8" name="Imagem 7" descr="C:\Users\User\Downloads\back (1).pngback (1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60DF1FE-9456-4C0E-AD1B-58BEB8756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 t="1708" b="1708"/>
        <a:stretch>
          <a:fillRect/>
        </a:stretch>
      </xdr:blipFill>
      <xdr:spPr>
        <a:xfrm>
          <a:off x="68580" y="152400"/>
          <a:ext cx="378400" cy="358140"/>
        </a:xfrm>
        <a:prstGeom prst="rect">
          <a:avLst/>
        </a:prstGeom>
      </xdr:spPr>
    </xdr:pic>
    <xdr:clientData/>
  </xdr:twoCellAnchor>
  <xdr:twoCellAnchor>
    <xdr:from>
      <xdr:col>4</xdr:col>
      <xdr:colOff>396240</xdr:colOff>
      <xdr:row>1</xdr:row>
      <xdr:rowOff>1</xdr:rowOff>
    </xdr:from>
    <xdr:to>
      <xdr:col>7</xdr:col>
      <xdr:colOff>1586386</xdr:colOff>
      <xdr:row>5</xdr:row>
      <xdr:rowOff>183516</xdr:rowOff>
    </xdr:to>
    <xdr:sp macro="" textlink="">
      <xdr:nvSpPr>
        <xdr:cNvPr id="10" name="Retângulo arredondado 55">
          <a:extLst>
            <a:ext uri="{FF2B5EF4-FFF2-40B4-BE49-F238E27FC236}">
              <a16:creationId xmlns:a16="http://schemas.microsoft.com/office/drawing/2014/main" id="{94DE8F98-0BE1-4CD6-A877-223235D38CC6}"/>
            </a:ext>
          </a:extLst>
        </xdr:cNvPr>
        <xdr:cNvSpPr/>
      </xdr:nvSpPr>
      <xdr:spPr>
        <a:xfrm rot="5400000">
          <a:off x="7677545" y="-1330084"/>
          <a:ext cx="915035" cy="3940966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6</xdr:col>
      <xdr:colOff>441878</xdr:colOff>
      <xdr:row>4</xdr:row>
      <xdr:rowOff>10794</xdr:rowOff>
    </xdr:from>
    <xdr:to>
      <xdr:col>7</xdr:col>
      <xdr:colOff>186984</xdr:colOff>
      <xdr:row>5</xdr:row>
      <xdr:rowOff>36719</xdr:rowOff>
    </xdr:to>
    <xdr:sp macro="" textlink="">
      <xdr:nvSpPr>
        <xdr:cNvPr id="11" name="Caixa de Texto 57">
          <a:extLst>
            <a:ext uri="{FF2B5EF4-FFF2-40B4-BE49-F238E27FC236}">
              <a16:creationId xmlns:a16="http://schemas.microsoft.com/office/drawing/2014/main" id="{BD3755FE-77E6-44E9-8033-32F51E409545}"/>
            </a:ext>
          </a:extLst>
        </xdr:cNvPr>
        <xdr:cNvSpPr txBox="1"/>
      </xdr:nvSpPr>
      <xdr:spPr>
        <a:xfrm>
          <a:off x="7597058" y="742314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516112</xdr:colOff>
      <xdr:row>4</xdr:row>
      <xdr:rowOff>11429</xdr:rowOff>
    </xdr:from>
    <xdr:to>
      <xdr:col>6</xdr:col>
      <xdr:colOff>268459</xdr:colOff>
      <xdr:row>5</xdr:row>
      <xdr:rowOff>78104</xdr:rowOff>
    </xdr:to>
    <xdr:sp macro="" textlink="">
      <xdr:nvSpPr>
        <xdr:cNvPr id="12" name="Caixa de Texto 58">
          <a:extLst>
            <a:ext uri="{FF2B5EF4-FFF2-40B4-BE49-F238E27FC236}">
              <a16:creationId xmlns:a16="http://schemas.microsoft.com/office/drawing/2014/main" id="{3A93D9F5-E2BE-4FF5-B81C-4EDD7B71C8B8}"/>
            </a:ext>
          </a:extLst>
        </xdr:cNvPr>
        <xdr:cNvSpPr txBox="1"/>
      </xdr:nvSpPr>
      <xdr:spPr>
        <a:xfrm>
          <a:off x="6284452" y="742949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352963</xdr:colOff>
      <xdr:row>4</xdr:row>
      <xdr:rowOff>5567</xdr:rowOff>
    </xdr:from>
    <xdr:to>
      <xdr:col>7</xdr:col>
      <xdr:colOff>1472802</xdr:colOff>
      <xdr:row>5</xdr:row>
      <xdr:rowOff>31492</xdr:rowOff>
    </xdr:to>
    <xdr:sp macro="" textlink="">
      <xdr:nvSpPr>
        <xdr:cNvPr id="13" name="Caixa de Texto 59">
          <a:extLst>
            <a:ext uri="{FF2B5EF4-FFF2-40B4-BE49-F238E27FC236}">
              <a16:creationId xmlns:a16="http://schemas.microsoft.com/office/drawing/2014/main" id="{7D121BB7-30CB-49A5-BA1C-69BEDFA2F557}"/>
            </a:ext>
          </a:extLst>
        </xdr:cNvPr>
        <xdr:cNvSpPr txBox="1"/>
      </xdr:nvSpPr>
      <xdr:spPr>
        <a:xfrm>
          <a:off x="8872123" y="737087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5</xdr:col>
      <xdr:colOff>265922</xdr:colOff>
      <xdr:row>1</xdr:row>
      <xdr:rowOff>85724</xdr:rowOff>
    </xdr:from>
    <xdr:to>
      <xdr:col>5</xdr:col>
      <xdr:colOff>730742</xdr:colOff>
      <xdr:row>3</xdr:row>
      <xdr:rowOff>175894</xdr:rowOff>
    </xdr:to>
    <xdr:pic>
      <xdr:nvPicPr>
        <xdr:cNvPr id="14" name="Imagem 13" descr="checklis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EA5CEF-E471-435A-A760-C7302EF12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43862" y="268604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7</xdr:col>
      <xdr:colOff>632929</xdr:colOff>
      <xdr:row>1</xdr:row>
      <xdr:rowOff>33201</xdr:rowOff>
    </xdr:from>
    <xdr:to>
      <xdr:col>7</xdr:col>
      <xdr:colOff>1129401</xdr:colOff>
      <xdr:row>3</xdr:row>
      <xdr:rowOff>165391</xdr:rowOff>
    </xdr:to>
    <xdr:pic>
      <xdr:nvPicPr>
        <xdr:cNvPr id="15" name="Imagem 14" descr="delivery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3FF366-23C8-449F-BE79-D268991A8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152089" y="216081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6</xdr:col>
      <xdr:colOff>744028</xdr:colOff>
      <xdr:row>1</xdr:row>
      <xdr:rowOff>107459</xdr:rowOff>
    </xdr:from>
    <xdr:to>
      <xdr:col>6</xdr:col>
      <xdr:colOff>1223453</xdr:colOff>
      <xdr:row>3</xdr:row>
      <xdr:rowOff>178579</xdr:rowOff>
    </xdr:to>
    <xdr:pic>
      <xdr:nvPicPr>
        <xdr:cNvPr id="16" name="Imagem 15" descr="productio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53FBA3A-45C4-4D4A-A1A3-200B02FF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99208" y="290339"/>
          <a:ext cx="479425" cy="436880"/>
        </a:xfrm>
        <a:prstGeom prst="rect">
          <a:avLst/>
        </a:prstGeom>
      </xdr:spPr>
    </xdr:pic>
    <xdr:clientData/>
  </xdr:twoCellAnchor>
  <xdr:oneCellAnchor>
    <xdr:from>
      <xdr:col>4</xdr:col>
      <xdr:colOff>137160</xdr:colOff>
      <xdr:row>7</xdr:row>
      <xdr:rowOff>53341</xdr:rowOff>
    </xdr:from>
    <xdr:ext cx="497655" cy="487680"/>
    <xdr:pic>
      <xdr:nvPicPr>
        <xdr:cNvPr id="17" name="Imagem 16" descr="register">
          <a:extLst>
            <a:ext uri="{FF2B5EF4-FFF2-40B4-BE49-F238E27FC236}">
              <a16:creationId xmlns:a16="http://schemas.microsoft.com/office/drawing/2014/main" id="{45305AE8-FCAA-4727-9023-2F04CC58B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3192781"/>
          <a:ext cx="497655" cy="48768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98158</xdr:colOff>
      <xdr:row>10</xdr:row>
      <xdr:rowOff>45720</xdr:rowOff>
    </xdr:from>
    <xdr:to>
      <xdr:col>5</xdr:col>
      <xdr:colOff>1760220</xdr:colOff>
      <xdr:row>18</xdr:row>
      <xdr:rowOff>175680</xdr:rowOff>
    </xdr:to>
    <xdr:pic>
      <xdr:nvPicPr>
        <xdr:cNvPr id="8" name="Imagem 7" descr="ACA TUBOS">
          <a:extLst>
            <a:ext uri="{FF2B5EF4-FFF2-40B4-BE49-F238E27FC236}">
              <a16:creationId xmlns:a16="http://schemas.microsoft.com/office/drawing/2014/main" id="{A281A67A-FB4E-450D-BD54-5D2874B05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5618" y="1905000"/>
          <a:ext cx="1662062" cy="1676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518160</xdr:colOff>
      <xdr:row>16</xdr:row>
      <xdr:rowOff>114300</xdr:rowOff>
    </xdr:from>
    <xdr:to>
      <xdr:col>7</xdr:col>
      <xdr:colOff>2217420</xdr:colOff>
      <xdr:row>18</xdr:row>
      <xdr:rowOff>38548</xdr:rowOff>
    </xdr:to>
    <xdr:sp macro="[0]!CadastrarProdut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8950702-2EB5-4898-9B44-03095B552FE3}"/>
            </a:ext>
          </a:extLst>
        </xdr:cNvPr>
        <xdr:cNvSpPr/>
      </xdr:nvSpPr>
      <xdr:spPr>
        <a:xfrm>
          <a:off x="10713720" y="3154680"/>
          <a:ext cx="1699260" cy="290008"/>
        </a:xfrm>
        <a:prstGeom prst="roundRect">
          <a:avLst/>
        </a:prstGeom>
        <a:solidFill>
          <a:srgbClr val="0070C0"/>
        </a:solidFill>
        <a:ln>
          <a:solidFill>
            <a:srgbClr val="21326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CADASTRAR</a:t>
          </a:r>
        </a:p>
      </xdr:txBody>
    </xdr:sp>
    <xdr:clientData/>
  </xdr:twoCellAnchor>
  <xdr:twoCellAnchor editAs="oneCell">
    <xdr:from>
      <xdr:col>0</xdr:col>
      <xdr:colOff>83820</xdr:colOff>
      <xdr:row>0</xdr:row>
      <xdr:rowOff>144780</xdr:rowOff>
    </xdr:from>
    <xdr:to>
      <xdr:col>0</xdr:col>
      <xdr:colOff>462220</xdr:colOff>
      <xdr:row>2</xdr:row>
      <xdr:rowOff>137160</xdr:rowOff>
    </xdr:to>
    <xdr:pic>
      <xdr:nvPicPr>
        <xdr:cNvPr id="6" name="Imagem 5" descr="C:\Users\User\Downloads\back (1).pngback (1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43E7A9-FB3A-4EDE-9931-FA0152BBE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 t="1708" b="1708"/>
        <a:stretch>
          <a:fillRect/>
        </a:stretch>
      </xdr:blipFill>
      <xdr:spPr>
        <a:xfrm>
          <a:off x="5074920" y="4099560"/>
          <a:ext cx="378400" cy="358140"/>
        </a:xfrm>
        <a:prstGeom prst="rect">
          <a:avLst/>
        </a:prstGeom>
      </xdr:spPr>
    </xdr:pic>
    <xdr:clientData/>
  </xdr:twoCellAnchor>
  <xdr:oneCellAnchor>
    <xdr:from>
      <xdr:col>5</xdr:col>
      <xdr:colOff>91440</xdr:colOff>
      <xdr:row>7</xdr:row>
      <xdr:rowOff>53341</xdr:rowOff>
    </xdr:from>
    <xdr:ext cx="497655" cy="487680"/>
    <xdr:pic>
      <xdr:nvPicPr>
        <xdr:cNvPr id="32" name="Imagem 31" descr="register">
          <a:extLst>
            <a:ext uri="{FF2B5EF4-FFF2-40B4-BE49-F238E27FC236}">
              <a16:creationId xmlns:a16="http://schemas.microsoft.com/office/drawing/2014/main" id="{2C342AC1-F2A4-4ACF-8D36-1C65283EE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438900" y="1363981"/>
          <a:ext cx="497655" cy="487680"/>
        </a:xfrm>
        <a:prstGeom prst="rect">
          <a:avLst/>
        </a:prstGeom>
      </xdr:spPr>
    </xdr:pic>
    <xdr:clientData/>
  </xdr:oneCellAnchor>
  <xdr:twoCellAnchor>
    <xdr:from>
      <xdr:col>5</xdr:col>
      <xdr:colOff>1120141</xdr:colOff>
      <xdr:row>1</xdr:row>
      <xdr:rowOff>15240</xdr:rowOff>
    </xdr:from>
    <xdr:to>
      <xdr:col>7</xdr:col>
      <xdr:colOff>1609247</xdr:colOff>
      <xdr:row>6</xdr:row>
      <xdr:rowOff>635</xdr:rowOff>
    </xdr:to>
    <xdr:sp macro="" textlink="">
      <xdr:nvSpPr>
        <xdr:cNvPr id="27" name="Retângulo arredondado 55">
          <a:extLst>
            <a:ext uri="{FF2B5EF4-FFF2-40B4-BE49-F238E27FC236}">
              <a16:creationId xmlns:a16="http://schemas.microsoft.com/office/drawing/2014/main" id="{B6D66E8C-4B46-40A5-8A75-F8E27437DE02}"/>
            </a:ext>
          </a:extLst>
        </xdr:cNvPr>
        <xdr:cNvSpPr/>
      </xdr:nvSpPr>
      <xdr:spPr>
        <a:xfrm rot="5400000">
          <a:off x="9376806" y="-1314845"/>
          <a:ext cx="915035" cy="3940966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6</xdr:col>
      <xdr:colOff>662859</xdr:colOff>
      <xdr:row>4</xdr:row>
      <xdr:rowOff>26033</xdr:rowOff>
    </xdr:from>
    <xdr:to>
      <xdr:col>7</xdr:col>
      <xdr:colOff>209845</xdr:colOff>
      <xdr:row>5</xdr:row>
      <xdr:rowOff>51958</xdr:rowOff>
    </xdr:to>
    <xdr:sp macro="" textlink="">
      <xdr:nvSpPr>
        <xdr:cNvPr id="28" name="Caixa de Texto 57">
          <a:extLst>
            <a:ext uri="{FF2B5EF4-FFF2-40B4-BE49-F238E27FC236}">
              <a16:creationId xmlns:a16="http://schemas.microsoft.com/office/drawing/2014/main" id="{10FB3D2C-5002-4CB2-B878-B77F6EFA3DB0}"/>
            </a:ext>
          </a:extLst>
        </xdr:cNvPr>
        <xdr:cNvSpPr txBox="1"/>
      </xdr:nvSpPr>
      <xdr:spPr>
        <a:xfrm>
          <a:off x="9296319" y="757553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5</xdr:col>
      <xdr:colOff>1240013</xdr:colOff>
      <xdr:row>4</xdr:row>
      <xdr:rowOff>26668</xdr:rowOff>
    </xdr:from>
    <xdr:to>
      <xdr:col>6</xdr:col>
      <xdr:colOff>489440</xdr:colOff>
      <xdr:row>5</xdr:row>
      <xdr:rowOff>93343</xdr:rowOff>
    </xdr:to>
    <xdr:sp macro="" textlink="">
      <xdr:nvSpPr>
        <xdr:cNvPr id="29" name="Caixa de Texto 58">
          <a:extLst>
            <a:ext uri="{FF2B5EF4-FFF2-40B4-BE49-F238E27FC236}">
              <a16:creationId xmlns:a16="http://schemas.microsoft.com/office/drawing/2014/main" id="{2373D4CA-F628-4445-8E4C-382B86F627DD}"/>
            </a:ext>
          </a:extLst>
        </xdr:cNvPr>
        <xdr:cNvSpPr txBox="1"/>
      </xdr:nvSpPr>
      <xdr:spPr>
        <a:xfrm>
          <a:off x="7983713" y="758188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375824</xdr:colOff>
      <xdr:row>4</xdr:row>
      <xdr:rowOff>20806</xdr:rowOff>
    </xdr:from>
    <xdr:to>
      <xdr:col>7</xdr:col>
      <xdr:colOff>1495663</xdr:colOff>
      <xdr:row>5</xdr:row>
      <xdr:rowOff>46731</xdr:rowOff>
    </xdr:to>
    <xdr:sp macro="" textlink="">
      <xdr:nvSpPr>
        <xdr:cNvPr id="30" name="Caixa de Texto 59">
          <a:extLst>
            <a:ext uri="{FF2B5EF4-FFF2-40B4-BE49-F238E27FC236}">
              <a16:creationId xmlns:a16="http://schemas.microsoft.com/office/drawing/2014/main" id="{7B048A9B-1FED-4EFF-9478-43B013F96E90}"/>
            </a:ext>
          </a:extLst>
        </xdr:cNvPr>
        <xdr:cNvSpPr txBox="1"/>
      </xdr:nvSpPr>
      <xdr:spPr>
        <a:xfrm>
          <a:off x="10571384" y="752326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5</xdr:col>
      <xdr:colOff>1599423</xdr:colOff>
      <xdr:row>1</xdr:row>
      <xdr:rowOff>100963</xdr:rowOff>
    </xdr:from>
    <xdr:to>
      <xdr:col>6</xdr:col>
      <xdr:colOff>174483</xdr:colOff>
      <xdr:row>4</xdr:row>
      <xdr:rowOff>8253</xdr:rowOff>
    </xdr:to>
    <xdr:pic>
      <xdr:nvPicPr>
        <xdr:cNvPr id="31" name="Imagem 30" descr="checklis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D99ABB-3966-4AD2-B318-F4F3A3A8C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43123" y="283843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7</xdr:col>
      <xdr:colOff>655790</xdr:colOff>
      <xdr:row>1</xdr:row>
      <xdr:rowOff>48440</xdr:rowOff>
    </xdr:from>
    <xdr:to>
      <xdr:col>7</xdr:col>
      <xdr:colOff>1152262</xdr:colOff>
      <xdr:row>3</xdr:row>
      <xdr:rowOff>180630</xdr:rowOff>
    </xdr:to>
    <xdr:pic>
      <xdr:nvPicPr>
        <xdr:cNvPr id="33" name="Imagem 32" descr="delivery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69E28E3-E96B-43C6-839D-76CD660DA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851350" y="231320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6</xdr:col>
      <xdr:colOff>965009</xdr:colOff>
      <xdr:row>1</xdr:row>
      <xdr:rowOff>122698</xdr:rowOff>
    </xdr:from>
    <xdr:to>
      <xdr:col>6</xdr:col>
      <xdr:colOff>1444434</xdr:colOff>
      <xdr:row>4</xdr:row>
      <xdr:rowOff>10938</xdr:rowOff>
    </xdr:to>
    <xdr:pic>
      <xdr:nvPicPr>
        <xdr:cNvPr id="34" name="Imagem 33" descr="productio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5075DCE-050F-4FEF-8AA2-7AD7E7E2E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98469" y="305578"/>
          <a:ext cx="479425" cy="4368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167640</xdr:colOff>
      <xdr:row>15</xdr:row>
      <xdr:rowOff>167640</xdr:rowOff>
    </xdr:from>
    <xdr:to>
      <xdr:col>6</xdr:col>
      <xdr:colOff>1546860</xdr:colOff>
      <xdr:row>17</xdr:row>
      <xdr:rowOff>91888</xdr:rowOff>
    </xdr:to>
    <xdr:sp macro="[0]!CadastrarVendedo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6930197-794F-4E73-A50B-8A53D79AD02F}"/>
            </a:ext>
          </a:extLst>
        </xdr:cNvPr>
        <xdr:cNvSpPr/>
      </xdr:nvSpPr>
      <xdr:spPr>
        <a:xfrm>
          <a:off x="8191500" y="3474720"/>
          <a:ext cx="1379220" cy="290008"/>
        </a:xfrm>
        <a:prstGeom prst="roundRect">
          <a:avLst/>
        </a:prstGeom>
        <a:solidFill>
          <a:srgbClr val="0070C0"/>
        </a:solidFill>
        <a:ln>
          <a:solidFill>
            <a:srgbClr val="21326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CADASTRAR</a:t>
          </a:r>
        </a:p>
      </xdr:txBody>
    </xdr:sp>
    <xdr:clientData/>
  </xdr:twoCellAnchor>
  <xdr:twoCellAnchor editAs="oneCell">
    <xdr:from>
      <xdr:col>4</xdr:col>
      <xdr:colOff>76133</xdr:colOff>
      <xdr:row>11</xdr:row>
      <xdr:rowOff>45721</xdr:rowOff>
    </xdr:from>
    <xdr:to>
      <xdr:col>4</xdr:col>
      <xdr:colOff>1237311</xdr:colOff>
      <xdr:row>17</xdr:row>
      <xdr:rowOff>99060</xdr:rowOff>
    </xdr:to>
    <xdr:pic>
      <xdr:nvPicPr>
        <xdr:cNvPr id="4" name="Imagem 3" descr="ACA TUBOS">
          <a:extLst>
            <a:ext uri="{FF2B5EF4-FFF2-40B4-BE49-F238E27FC236}">
              <a16:creationId xmlns:a16="http://schemas.microsoft.com/office/drawing/2014/main" id="{B1380219-479D-491E-A7FD-659760789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033" y="2613661"/>
          <a:ext cx="1170703" cy="1181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60960</xdr:colOff>
      <xdr:row>0</xdr:row>
      <xdr:rowOff>83820</xdr:rowOff>
    </xdr:from>
    <xdr:to>
      <xdr:col>0</xdr:col>
      <xdr:colOff>439360</xdr:colOff>
      <xdr:row>2</xdr:row>
      <xdr:rowOff>76200</xdr:rowOff>
    </xdr:to>
    <xdr:pic>
      <xdr:nvPicPr>
        <xdr:cNvPr id="5" name="Imagem 4" descr="C:\Users\User\Downloads\back (1).pngback (1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0884FB3-B0EC-4091-BF0A-35A9F095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rcRect t="1708" b="1708"/>
        <a:stretch>
          <a:fillRect/>
        </a:stretch>
      </xdr:blipFill>
      <xdr:spPr>
        <a:xfrm>
          <a:off x="60960" y="83820"/>
          <a:ext cx="378400" cy="358140"/>
        </a:xfrm>
        <a:prstGeom prst="rect">
          <a:avLst/>
        </a:prstGeom>
      </xdr:spPr>
    </xdr:pic>
    <xdr:clientData/>
  </xdr:twoCellAnchor>
  <xdr:oneCellAnchor>
    <xdr:from>
      <xdr:col>4</xdr:col>
      <xdr:colOff>22860</xdr:colOff>
      <xdr:row>8</xdr:row>
      <xdr:rowOff>60961</xdr:rowOff>
    </xdr:from>
    <xdr:ext cx="497655" cy="487680"/>
    <xdr:pic>
      <xdr:nvPicPr>
        <xdr:cNvPr id="13" name="Imagem 12" descr="register">
          <a:extLst>
            <a:ext uri="{FF2B5EF4-FFF2-40B4-BE49-F238E27FC236}">
              <a16:creationId xmlns:a16="http://schemas.microsoft.com/office/drawing/2014/main" id="{06DDC59D-DF09-4CB9-AB69-6C26492A7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18760" y="243841"/>
          <a:ext cx="497655" cy="487680"/>
        </a:xfrm>
        <a:prstGeom prst="rect">
          <a:avLst/>
        </a:prstGeom>
      </xdr:spPr>
    </xdr:pic>
    <xdr:clientData/>
  </xdr:oneCellAnchor>
  <xdr:twoCellAnchor>
    <xdr:from>
      <xdr:col>4</xdr:col>
      <xdr:colOff>327660</xdr:colOff>
      <xdr:row>1</xdr:row>
      <xdr:rowOff>15242</xdr:rowOff>
    </xdr:from>
    <xdr:to>
      <xdr:col>6</xdr:col>
      <xdr:colOff>1540666</xdr:colOff>
      <xdr:row>6</xdr:row>
      <xdr:rowOff>15877</xdr:rowOff>
    </xdr:to>
    <xdr:sp macro="" textlink="">
      <xdr:nvSpPr>
        <xdr:cNvPr id="14" name="Retângulo arredondado 55">
          <a:extLst>
            <a:ext uri="{FF2B5EF4-FFF2-40B4-BE49-F238E27FC236}">
              <a16:creationId xmlns:a16="http://schemas.microsoft.com/office/drawing/2014/main" id="{7A11D2BD-B0F0-4D4B-AF3E-2ED9DBC21898}"/>
            </a:ext>
          </a:extLst>
        </xdr:cNvPr>
        <xdr:cNvSpPr/>
      </xdr:nvSpPr>
      <xdr:spPr>
        <a:xfrm rot="5400000">
          <a:off x="7136525" y="-1314843"/>
          <a:ext cx="915035" cy="3940966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5</xdr:col>
      <xdr:colOff>487598</xdr:colOff>
      <xdr:row>4</xdr:row>
      <xdr:rowOff>26035</xdr:rowOff>
    </xdr:from>
    <xdr:to>
      <xdr:col>6</xdr:col>
      <xdr:colOff>141264</xdr:colOff>
      <xdr:row>5</xdr:row>
      <xdr:rowOff>51960</xdr:rowOff>
    </xdr:to>
    <xdr:sp macro="" textlink="">
      <xdr:nvSpPr>
        <xdr:cNvPr id="15" name="Caixa de Texto 57">
          <a:extLst>
            <a:ext uri="{FF2B5EF4-FFF2-40B4-BE49-F238E27FC236}">
              <a16:creationId xmlns:a16="http://schemas.microsoft.com/office/drawing/2014/main" id="{DB4E8FF5-9B37-4CE1-8035-64A85D44C2DE}"/>
            </a:ext>
          </a:extLst>
        </xdr:cNvPr>
        <xdr:cNvSpPr txBox="1"/>
      </xdr:nvSpPr>
      <xdr:spPr>
        <a:xfrm>
          <a:off x="7056038" y="757555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447532</xdr:colOff>
      <xdr:row>4</xdr:row>
      <xdr:rowOff>26670</xdr:rowOff>
    </xdr:from>
    <xdr:to>
      <xdr:col>5</xdr:col>
      <xdr:colOff>314179</xdr:colOff>
      <xdr:row>5</xdr:row>
      <xdr:rowOff>93345</xdr:rowOff>
    </xdr:to>
    <xdr:sp macro="" textlink="">
      <xdr:nvSpPr>
        <xdr:cNvPr id="16" name="Caixa de Texto 58">
          <a:extLst>
            <a:ext uri="{FF2B5EF4-FFF2-40B4-BE49-F238E27FC236}">
              <a16:creationId xmlns:a16="http://schemas.microsoft.com/office/drawing/2014/main" id="{88D4C951-E22C-4C7B-A10C-8855EC4522E2}"/>
            </a:ext>
          </a:extLst>
        </xdr:cNvPr>
        <xdr:cNvSpPr txBox="1"/>
      </xdr:nvSpPr>
      <xdr:spPr>
        <a:xfrm>
          <a:off x="5743432" y="758190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307243</xdr:colOff>
      <xdr:row>4</xdr:row>
      <xdr:rowOff>20808</xdr:rowOff>
    </xdr:from>
    <xdr:to>
      <xdr:col>6</xdr:col>
      <xdr:colOff>1427082</xdr:colOff>
      <xdr:row>5</xdr:row>
      <xdr:rowOff>46733</xdr:rowOff>
    </xdr:to>
    <xdr:sp macro="" textlink="">
      <xdr:nvSpPr>
        <xdr:cNvPr id="17" name="Caixa de Texto 59">
          <a:extLst>
            <a:ext uri="{FF2B5EF4-FFF2-40B4-BE49-F238E27FC236}">
              <a16:creationId xmlns:a16="http://schemas.microsoft.com/office/drawing/2014/main" id="{6F6D1809-F339-40EF-839F-FB8F9BE2E5BB}"/>
            </a:ext>
          </a:extLst>
        </xdr:cNvPr>
        <xdr:cNvSpPr txBox="1"/>
      </xdr:nvSpPr>
      <xdr:spPr>
        <a:xfrm>
          <a:off x="8331103" y="752328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4</xdr:col>
      <xdr:colOff>806942</xdr:colOff>
      <xdr:row>1</xdr:row>
      <xdr:rowOff>100965</xdr:rowOff>
    </xdr:from>
    <xdr:to>
      <xdr:col>4</xdr:col>
      <xdr:colOff>1233662</xdr:colOff>
      <xdr:row>4</xdr:row>
      <xdr:rowOff>8255</xdr:rowOff>
    </xdr:to>
    <xdr:pic>
      <xdr:nvPicPr>
        <xdr:cNvPr id="18" name="Imagem 17" descr="checklist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931389-F24A-4B01-8E3A-9E39AD429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02842" y="283845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6</xdr:col>
      <xdr:colOff>587209</xdr:colOff>
      <xdr:row>1</xdr:row>
      <xdr:rowOff>48442</xdr:rowOff>
    </xdr:from>
    <xdr:to>
      <xdr:col>6</xdr:col>
      <xdr:colOff>1083681</xdr:colOff>
      <xdr:row>3</xdr:row>
      <xdr:rowOff>180632</xdr:rowOff>
    </xdr:to>
    <xdr:pic>
      <xdr:nvPicPr>
        <xdr:cNvPr id="19" name="Imagem 18" descr="delivery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64E02A-1A47-45A7-BAA4-EB263605C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11069" y="231322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5</xdr:col>
      <xdr:colOff>789748</xdr:colOff>
      <xdr:row>1</xdr:row>
      <xdr:rowOff>122700</xdr:rowOff>
    </xdr:from>
    <xdr:to>
      <xdr:col>5</xdr:col>
      <xdr:colOff>1269173</xdr:colOff>
      <xdr:row>4</xdr:row>
      <xdr:rowOff>10940</xdr:rowOff>
    </xdr:to>
    <xdr:pic>
      <xdr:nvPicPr>
        <xdr:cNvPr id="20" name="Imagem 19" descr="productio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EDCE32D-A4BB-45FC-9D8F-4DD12DD5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358188" y="305580"/>
          <a:ext cx="479425" cy="43688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44085</xdr:colOff>
      <xdr:row>12</xdr:row>
      <xdr:rowOff>22860</xdr:rowOff>
    </xdr:from>
    <xdr:to>
      <xdr:col>3</xdr:col>
      <xdr:colOff>1817718</xdr:colOff>
      <xdr:row>21</xdr:row>
      <xdr:rowOff>167640</xdr:rowOff>
    </xdr:to>
    <xdr:pic>
      <xdr:nvPicPr>
        <xdr:cNvPr id="12" name="Imagem 11" descr="ACA TUBOS">
          <a:extLst>
            <a:ext uri="{FF2B5EF4-FFF2-40B4-BE49-F238E27FC236}">
              <a16:creationId xmlns:a16="http://schemas.microsoft.com/office/drawing/2014/main" id="{892B74A6-66AE-4E66-88E6-9BDE269F2F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2885" y="2148840"/>
          <a:ext cx="1773633" cy="180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83821</xdr:colOff>
      <xdr:row>6</xdr:row>
      <xdr:rowOff>91440</xdr:rowOff>
    </xdr:from>
    <xdr:to>
      <xdr:col>3</xdr:col>
      <xdr:colOff>645017</xdr:colOff>
      <xdr:row>9</xdr:row>
      <xdr:rowOff>130847</xdr:rowOff>
    </xdr:to>
    <xdr:pic>
      <xdr:nvPicPr>
        <xdr:cNvPr id="13" name="Imagem 12" descr="register">
          <a:extLst>
            <a:ext uri="{FF2B5EF4-FFF2-40B4-BE49-F238E27FC236}">
              <a16:creationId xmlns:a16="http://schemas.microsoft.com/office/drawing/2014/main" id="{11B8156C-8F30-45DD-B454-A7D368B3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12621" y="1188720"/>
          <a:ext cx="561196" cy="549947"/>
        </a:xfrm>
        <a:prstGeom prst="rect">
          <a:avLst/>
        </a:prstGeom>
      </xdr:spPr>
    </xdr:pic>
    <xdr:clientData/>
  </xdr:twoCellAnchor>
  <xdr:twoCellAnchor>
    <xdr:from>
      <xdr:col>5</xdr:col>
      <xdr:colOff>405033</xdr:colOff>
      <xdr:row>26</xdr:row>
      <xdr:rowOff>187863</xdr:rowOff>
    </xdr:from>
    <xdr:to>
      <xdr:col>5</xdr:col>
      <xdr:colOff>1784253</xdr:colOff>
      <xdr:row>28</xdr:row>
      <xdr:rowOff>112111</xdr:rowOff>
    </xdr:to>
    <xdr:sp macro="[0]!CadastrarPedido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9749B5D6-1EA1-4F80-A4C7-E36E7F787443}"/>
            </a:ext>
          </a:extLst>
        </xdr:cNvPr>
        <xdr:cNvSpPr/>
      </xdr:nvSpPr>
      <xdr:spPr>
        <a:xfrm>
          <a:off x="6046764" y="4943036"/>
          <a:ext cx="1379220" cy="305248"/>
        </a:xfrm>
        <a:prstGeom prst="roundRect">
          <a:avLst/>
        </a:prstGeom>
        <a:solidFill>
          <a:srgbClr val="002060"/>
        </a:solidFill>
        <a:ln>
          <a:solidFill>
            <a:srgbClr val="21326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CADASTRAR</a:t>
          </a:r>
        </a:p>
      </xdr:txBody>
    </xdr:sp>
    <xdr:clientData/>
  </xdr:twoCellAnchor>
  <xdr:twoCellAnchor editAs="oneCell">
    <xdr:from>
      <xdr:col>0</xdr:col>
      <xdr:colOff>152400</xdr:colOff>
      <xdr:row>1</xdr:row>
      <xdr:rowOff>7620</xdr:rowOff>
    </xdr:from>
    <xdr:to>
      <xdr:col>0</xdr:col>
      <xdr:colOff>579106</xdr:colOff>
      <xdr:row>3</xdr:row>
      <xdr:rowOff>45720</xdr:rowOff>
    </xdr:to>
    <xdr:pic>
      <xdr:nvPicPr>
        <xdr:cNvPr id="28" name="Imagem 27" descr="C:\Users\User\Downloads\back (1).pngback (1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570151-70B1-4461-AFDA-BEF17BE98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t="1708" b="1708"/>
        <a:stretch>
          <a:fillRect/>
        </a:stretch>
      </xdr:blipFill>
      <xdr:spPr>
        <a:xfrm>
          <a:off x="152400" y="190500"/>
          <a:ext cx="426706" cy="403860"/>
        </a:xfrm>
        <a:prstGeom prst="rect">
          <a:avLst/>
        </a:prstGeom>
      </xdr:spPr>
    </xdr:pic>
    <xdr:clientData/>
  </xdr:twoCellAnchor>
  <xdr:twoCellAnchor>
    <xdr:from>
      <xdr:col>3</xdr:col>
      <xdr:colOff>1424941</xdr:colOff>
      <xdr:row>0</xdr:row>
      <xdr:rowOff>106681</xdr:rowOff>
    </xdr:from>
    <xdr:to>
      <xdr:col>5</xdr:col>
      <xdr:colOff>1441607</xdr:colOff>
      <xdr:row>5</xdr:row>
      <xdr:rowOff>107316</xdr:rowOff>
    </xdr:to>
    <xdr:sp macro="" textlink="">
      <xdr:nvSpPr>
        <xdr:cNvPr id="23" name="Retângulo arredondado 55">
          <a:extLst>
            <a:ext uri="{FF2B5EF4-FFF2-40B4-BE49-F238E27FC236}">
              <a16:creationId xmlns:a16="http://schemas.microsoft.com/office/drawing/2014/main" id="{8C7B004C-CB8D-462F-810B-1E36799A644E}"/>
            </a:ext>
          </a:extLst>
        </xdr:cNvPr>
        <xdr:cNvSpPr/>
      </xdr:nvSpPr>
      <xdr:spPr>
        <a:xfrm rot="5400000">
          <a:off x="4766706" y="-1406284"/>
          <a:ext cx="915035" cy="3940966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967659</xdr:colOff>
      <xdr:row>3</xdr:row>
      <xdr:rowOff>117474</xdr:rowOff>
    </xdr:from>
    <xdr:to>
      <xdr:col>5</xdr:col>
      <xdr:colOff>42205</xdr:colOff>
      <xdr:row>4</xdr:row>
      <xdr:rowOff>143399</xdr:rowOff>
    </xdr:to>
    <xdr:sp macro="" textlink="">
      <xdr:nvSpPr>
        <xdr:cNvPr id="24" name="Caixa de Texto 57">
          <a:extLst>
            <a:ext uri="{FF2B5EF4-FFF2-40B4-BE49-F238E27FC236}">
              <a16:creationId xmlns:a16="http://schemas.microsoft.com/office/drawing/2014/main" id="{0926379B-F3C9-47FA-AE16-6586FA448E27}"/>
            </a:ext>
          </a:extLst>
        </xdr:cNvPr>
        <xdr:cNvSpPr txBox="1"/>
      </xdr:nvSpPr>
      <xdr:spPr>
        <a:xfrm>
          <a:off x="4686219" y="666114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3</xdr:col>
      <xdr:colOff>1544813</xdr:colOff>
      <xdr:row>3</xdr:row>
      <xdr:rowOff>118109</xdr:rowOff>
    </xdr:from>
    <xdr:to>
      <xdr:col>4</xdr:col>
      <xdr:colOff>794240</xdr:colOff>
      <xdr:row>5</xdr:row>
      <xdr:rowOff>1904</xdr:rowOff>
    </xdr:to>
    <xdr:sp macro="" textlink="">
      <xdr:nvSpPr>
        <xdr:cNvPr id="25" name="Caixa de Texto 58">
          <a:extLst>
            <a:ext uri="{FF2B5EF4-FFF2-40B4-BE49-F238E27FC236}">
              <a16:creationId xmlns:a16="http://schemas.microsoft.com/office/drawing/2014/main" id="{23D0B292-DE01-461E-8102-0C43F78E7D87}"/>
            </a:ext>
          </a:extLst>
        </xdr:cNvPr>
        <xdr:cNvSpPr txBox="1"/>
      </xdr:nvSpPr>
      <xdr:spPr>
        <a:xfrm>
          <a:off x="3373613" y="666749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208184</xdr:colOff>
      <xdr:row>3</xdr:row>
      <xdr:rowOff>112247</xdr:rowOff>
    </xdr:from>
    <xdr:to>
      <xdr:col>5</xdr:col>
      <xdr:colOff>1328023</xdr:colOff>
      <xdr:row>4</xdr:row>
      <xdr:rowOff>138172</xdr:rowOff>
    </xdr:to>
    <xdr:sp macro="" textlink="">
      <xdr:nvSpPr>
        <xdr:cNvPr id="26" name="Caixa de Texto 59">
          <a:extLst>
            <a:ext uri="{FF2B5EF4-FFF2-40B4-BE49-F238E27FC236}">
              <a16:creationId xmlns:a16="http://schemas.microsoft.com/office/drawing/2014/main" id="{3DE173D0-63E2-4096-9A7D-0FF1F09898DC}"/>
            </a:ext>
          </a:extLst>
        </xdr:cNvPr>
        <xdr:cNvSpPr txBox="1"/>
      </xdr:nvSpPr>
      <xdr:spPr>
        <a:xfrm>
          <a:off x="5961284" y="660887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4</xdr:col>
      <xdr:colOff>14463</xdr:colOff>
      <xdr:row>1</xdr:row>
      <xdr:rowOff>9524</xdr:rowOff>
    </xdr:from>
    <xdr:to>
      <xdr:col>4</xdr:col>
      <xdr:colOff>479283</xdr:colOff>
      <xdr:row>3</xdr:row>
      <xdr:rowOff>99694</xdr:rowOff>
    </xdr:to>
    <xdr:pic>
      <xdr:nvPicPr>
        <xdr:cNvPr id="27" name="Imagem 26" descr="checklis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FCE7EB-5F62-40B7-BC9A-B3B9F8FA2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33023" y="192404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5</xdr:col>
      <xdr:colOff>488150</xdr:colOff>
      <xdr:row>0</xdr:row>
      <xdr:rowOff>139881</xdr:rowOff>
    </xdr:from>
    <xdr:to>
      <xdr:col>5</xdr:col>
      <xdr:colOff>984622</xdr:colOff>
      <xdr:row>3</xdr:row>
      <xdr:rowOff>89191</xdr:rowOff>
    </xdr:to>
    <xdr:pic>
      <xdr:nvPicPr>
        <xdr:cNvPr id="29" name="Imagem 28" descr="delivery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F389613-F1CD-4664-8C44-9F5410E7B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41250" y="139881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4</xdr:col>
      <xdr:colOff>1269809</xdr:colOff>
      <xdr:row>1</xdr:row>
      <xdr:rowOff>31259</xdr:rowOff>
    </xdr:from>
    <xdr:to>
      <xdr:col>4</xdr:col>
      <xdr:colOff>1749234</xdr:colOff>
      <xdr:row>3</xdr:row>
      <xdr:rowOff>102379</xdr:rowOff>
    </xdr:to>
    <xdr:pic>
      <xdr:nvPicPr>
        <xdr:cNvPr id="30" name="Imagem 29" descr="productio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D17E096-8583-45D7-BAA1-DAB458608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88369" y="214139"/>
          <a:ext cx="479425" cy="43688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38099</xdr:colOff>
      <xdr:row>11</xdr:row>
      <xdr:rowOff>10507</xdr:rowOff>
    </xdr:from>
    <xdr:to>
      <xdr:col>15</xdr:col>
      <xdr:colOff>228600</xdr:colOff>
      <xdr:row>27</xdr:row>
      <xdr:rowOff>187211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3FF87DE-4392-4EBF-91CA-0B71B6711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699" y="2106007"/>
          <a:ext cx="2628901" cy="2548429"/>
        </a:xfrm>
        <a:prstGeom prst="rect">
          <a:avLst/>
        </a:prstGeom>
      </xdr:spPr>
    </xdr:pic>
    <xdr:clientData/>
  </xdr:twoCellAnchor>
  <xdr:twoCellAnchor>
    <xdr:from>
      <xdr:col>18</xdr:col>
      <xdr:colOff>137678</xdr:colOff>
      <xdr:row>36</xdr:row>
      <xdr:rowOff>138546</xdr:rowOff>
    </xdr:from>
    <xdr:to>
      <xdr:col>22</xdr:col>
      <xdr:colOff>111395</xdr:colOff>
      <xdr:row>39</xdr:row>
      <xdr:rowOff>100894</xdr:rowOff>
    </xdr:to>
    <xdr:sp macro="[0]!Atualizar_pedid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3D6351D-AA77-4A5D-A407-67F7CAA2EFF8}"/>
            </a:ext>
          </a:extLst>
        </xdr:cNvPr>
        <xdr:cNvSpPr/>
      </xdr:nvSpPr>
      <xdr:spPr>
        <a:xfrm>
          <a:off x="11048133" y="6329796"/>
          <a:ext cx="2398262" cy="533848"/>
        </a:xfrm>
        <a:prstGeom prst="roundRect">
          <a:avLst/>
        </a:prstGeom>
        <a:solidFill>
          <a:srgbClr val="002060"/>
        </a:solidFill>
        <a:ln>
          <a:solidFill>
            <a:srgbClr val="21326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ATUALIZAR PEDIDO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82395</xdr:colOff>
      <xdr:row>0</xdr:row>
      <xdr:rowOff>155054</xdr:rowOff>
    </xdr:from>
    <xdr:to>
      <xdr:col>6</xdr:col>
      <xdr:colOff>1104901</xdr:colOff>
      <xdr:row>5</xdr:row>
      <xdr:rowOff>155689</xdr:rowOff>
    </xdr:to>
    <xdr:sp macro="" textlink="">
      <xdr:nvSpPr>
        <xdr:cNvPr id="2" name="Retângulo arredondado 55">
          <a:extLst>
            <a:ext uri="{FF2B5EF4-FFF2-40B4-BE49-F238E27FC236}">
              <a16:creationId xmlns:a16="http://schemas.microsoft.com/office/drawing/2014/main" id="{47AFFC89-14E9-49FF-A571-4E2C30A077B4}"/>
            </a:ext>
          </a:extLst>
        </xdr:cNvPr>
        <xdr:cNvSpPr/>
      </xdr:nvSpPr>
      <xdr:spPr>
        <a:xfrm rot="5400000">
          <a:off x="7135100" y="-1357911"/>
          <a:ext cx="915035" cy="3940966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1514873</xdr:colOff>
      <xdr:row>3</xdr:row>
      <xdr:rowOff>165847</xdr:rowOff>
    </xdr:from>
    <xdr:to>
      <xdr:col>5</xdr:col>
      <xdr:colOff>1069479</xdr:colOff>
      <xdr:row>5</xdr:row>
      <xdr:rowOff>8892</xdr:rowOff>
    </xdr:to>
    <xdr:sp macro="" textlink="">
      <xdr:nvSpPr>
        <xdr:cNvPr id="4" name="Caixa de Texto 57">
          <a:extLst>
            <a:ext uri="{FF2B5EF4-FFF2-40B4-BE49-F238E27FC236}">
              <a16:creationId xmlns:a16="http://schemas.microsoft.com/office/drawing/2014/main" id="{06A0D3A7-42B5-4722-993C-D1147AB891AB}"/>
            </a:ext>
          </a:extLst>
        </xdr:cNvPr>
        <xdr:cNvSpPr txBox="1"/>
      </xdr:nvSpPr>
      <xdr:spPr>
        <a:xfrm>
          <a:off x="7054613" y="714487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202267</xdr:colOff>
      <xdr:row>3</xdr:row>
      <xdr:rowOff>166482</xdr:rowOff>
    </xdr:from>
    <xdr:to>
      <xdr:col>4</xdr:col>
      <xdr:colOff>1341454</xdr:colOff>
      <xdr:row>5</xdr:row>
      <xdr:rowOff>50277</xdr:rowOff>
    </xdr:to>
    <xdr:sp macro="" textlink="">
      <xdr:nvSpPr>
        <xdr:cNvPr id="5" name="Caixa de Texto 58">
          <a:extLst>
            <a:ext uri="{FF2B5EF4-FFF2-40B4-BE49-F238E27FC236}">
              <a16:creationId xmlns:a16="http://schemas.microsoft.com/office/drawing/2014/main" id="{79D65246-2423-48CD-B02C-8AB082273114}"/>
            </a:ext>
          </a:extLst>
        </xdr:cNvPr>
        <xdr:cNvSpPr txBox="1"/>
      </xdr:nvSpPr>
      <xdr:spPr>
        <a:xfrm>
          <a:off x="5742007" y="715122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1235458</xdr:colOff>
      <xdr:row>3</xdr:row>
      <xdr:rowOff>160620</xdr:rowOff>
    </xdr:from>
    <xdr:to>
      <xdr:col>6</xdr:col>
      <xdr:colOff>991317</xdr:colOff>
      <xdr:row>5</xdr:row>
      <xdr:rowOff>3665</xdr:rowOff>
    </xdr:to>
    <xdr:sp macro="" textlink="">
      <xdr:nvSpPr>
        <xdr:cNvPr id="6" name="Caixa de Texto 59">
          <a:extLst>
            <a:ext uri="{FF2B5EF4-FFF2-40B4-BE49-F238E27FC236}">
              <a16:creationId xmlns:a16="http://schemas.microsoft.com/office/drawing/2014/main" id="{84C87400-0577-40AB-A057-4A1379087A13}"/>
            </a:ext>
          </a:extLst>
        </xdr:cNvPr>
        <xdr:cNvSpPr txBox="1"/>
      </xdr:nvSpPr>
      <xdr:spPr>
        <a:xfrm>
          <a:off x="8329678" y="709260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4</xdr:col>
      <xdr:colOff>561677</xdr:colOff>
      <xdr:row>1</xdr:row>
      <xdr:rowOff>57897</xdr:rowOff>
    </xdr:from>
    <xdr:to>
      <xdr:col>4</xdr:col>
      <xdr:colOff>1026497</xdr:colOff>
      <xdr:row>3</xdr:row>
      <xdr:rowOff>148067</xdr:rowOff>
    </xdr:to>
    <xdr:pic>
      <xdr:nvPicPr>
        <xdr:cNvPr id="8" name="Imagem 7" descr="checklist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E24095-7F30-4EDA-8CB8-FB5FB020E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01417" y="240777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6</xdr:col>
      <xdr:colOff>151444</xdr:colOff>
      <xdr:row>1</xdr:row>
      <xdr:rowOff>5374</xdr:rowOff>
    </xdr:from>
    <xdr:to>
      <xdr:col>6</xdr:col>
      <xdr:colOff>647916</xdr:colOff>
      <xdr:row>3</xdr:row>
      <xdr:rowOff>137564</xdr:rowOff>
    </xdr:to>
    <xdr:pic>
      <xdr:nvPicPr>
        <xdr:cNvPr id="9" name="Imagem 8" descr="delivery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061A5CB-2300-498D-90D9-B63A36B80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09644" y="188254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5</xdr:col>
      <xdr:colOff>262543</xdr:colOff>
      <xdr:row>1</xdr:row>
      <xdr:rowOff>79632</xdr:rowOff>
    </xdr:from>
    <xdr:to>
      <xdr:col>5</xdr:col>
      <xdr:colOff>741968</xdr:colOff>
      <xdr:row>3</xdr:row>
      <xdr:rowOff>150752</xdr:rowOff>
    </xdr:to>
    <xdr:pic>
      <xdr:nvPicPr>
        <xdr:cNvPr id="10" name="Imagem 9" descr="productio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028BEA-9CA0-42D2-B8B9-9F5B81E4F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56763" y="262512"/>
          <a:ext cx="479425" cy="436880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</xdr:row>
      <xdr:rowOff>15240</xdr:rowOff>
    </xdr:from>
    <xdr:to>
      <xdr:col>0</xdr:col>
      <xdr:colOff>510526</xdr:colOff>
      <xdr:row>3</xdr:row>
      <xdr:rowOff>53340</xdr:rowOff>
    </xdr:to>
    <xdr:pic>
      <xdr:nvPicPr>
        <xdr:cNvPr id="11" name="Imagem 10" descr="C:\Users\User\Downloads\back (1).pngback (1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FE333D1-ADDD-45D1-96FF-367E8275F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rcRect t="1708" b="1708"/>
        <a:stretch>
          <a:fillRect/>
        </a:stretch>
      </xdr:blipFill>
      <xdr:spPr>
        <a:xfrm>
          <a:off x="83820" y="198120"/>
          <a:ext cx="426706" cy="4038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53340</xdr:rowOff>
    </xdr:from>
    <xdr:to>
      <xdr:col>0</xdr:col>
      <xdr:colOff>541006</xdr:colOff>
      <xdr:row>3</xdr:row>
      <xdr:rowOff>91440</xdr:rowOff>
    </xdr:to>
    <xdr:pic>
      <xdr:nvPicPr>
        <xdr:cNvPr id="11" name="Imagem 10" descr="C:\Users\User\Downloads\back (1).pngback (1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C2DE25-61A5-478F-9B73-988CB2A04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1708" b="1708"/>
        <a:stretch>
          <a:fillRect/>
        </a:stretch>
      </xdr:blipFill>
      <xdr:spPr>
        <a:xfrm>
          <a:off x="114300" y="236220"/>
          <a:ext cx="426706" cy="403860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</xdr:row>
      <xdr:rowOff>30480</xdr:rowOff>
    </xdr:from>
    <xdr:to>
      <xdr:col>0</xdr:col>
      <xdr:colOff>525766</xdr:colOff>
      <xdr:row>3</xdr:row>
      <xdr:rowOff>68580</xdr:rowOff>
    </xdr:to>
    <xdr:pic>
      <xdr:nvPicPr>
        <xdr:cNvPr id="12" name="Imagem 11" descr="C:\Users\User\Downloads\back (1).pngback (1)">
          <a:extLst>
            <a:ext uri="{FF2B5EF4-FFF2-40B4-BE49-F238E27FC236}">
              <a16:creationId xmlns:a16="http://schemas.microsoft.com/office/drawing/2014/main" id="{1B655CFA-E753-4FA4-87AB-C50275FEF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1708" b="1708"/>
        <a:stretch>
          <a:fillRect/>
        </a:stretch>
      </xdr:blipFill>
      <xdr:spPr>
        <a:xfrm>
          <a:off x="99060" y="213360"/>
          <a:ext cx="426706" cy="403860"/>
        </a:xfrm>
        <a:prstGeom prst="rect">
          <a:avLst/>
        </a:prstGeom>
      </xdr:spPr>
    </xdr:pic>
    <xdr:clientData/>
  </xdr:twoCellAnchor>
  <xdr:twoCellAnchor>
    <xdr:from>
      <xdr:col>3</xdr:col>
      <xdr:colOff>601981</xdr:colOff>
      <xdr:row>1</xdr:row>
      <xdr:rowOff>0</xdr:rowOff>
    </xdr:from>
    <xdr:to>
      <xdr:col>10</xdr:col>
      <xdr:colOff>275747</xdr:colOff>
      <xdr:row>6</xdr:row>
      <xdr:rowOff>635</xdr:rowOff>
    </xdr:to>
    <xdr:sp macro="" textlink="">
      <xdr:nvSpPr>
        <xdr:cNvPr id="13" name="Retângulo arredondado 55">
          <a:extLst>
            <a:ext uri="{FF2B5EF4-FFF2-40B4-BE49-F238E27FC236}">
              <a16:creationId xmlns:a16="http://schemas.microsoft.com/office/drawing/2014/main" id="{9C434D75-3158-4EB9-BBC6-EB09D8FD07E3}"/>
            </a:ext>
          </a:extLst>
        </xdr:cNvPr>
        <xdr:cNvSpPr/>
      </xdr:nvSpPr>
      <xdr:spPr>
        <a:xfrm rot="5400000">
          <a:off x="3943746" y="-1330085"/>
          <a:ext cx="915035" cy="3940966"/>
        </a:xfrm>
        <a:prstGeom prst="roundRect">
          <a:avLst/>
        </a:prstGeom>
        <a:solidFill>
          <a:srgbClr val="213269"/>
        </a:solidFill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altLang="en-US" sz="1100"/>
        </a:p>
      </xdr:txBody>
    </xdr:sp>
    <xdr:clientData/>
  </xdr:twoCellAnchor>
  <xdr:twoCellAnchor>
    <xdr:from>
      <xdr:col>6</xdr:col>
      <xdr:colOff>205659</xdr:colOff>
      <xdr:row>4</xdr:row>
      <xdr:rowOff>10793</xdr:rowOff>
    </xdr:from>
    <xdr:to>
      <xdr:col>8</xdr:col>
      <xdr:colOff>95545</xdr:colOff>
      <xdr:row>5</xdr:row>
      <xdr:rowOff>36718</xdr:rowOff>
    </xdr:to>
    <xdr:sp macro="" textlink="">
      <xdr:nvSpPr>
        <xdr:cNvPr id="14" name="Caixa de Texto 57">
          <a:extLst>
            <a:ext uri="{FF2B5EF4-FFF2-40B4-BE49-F238E27FC236}">
              <a16:creationId xmlns:a16="http://schemas.microsoft.com/office/drawing/2014/main" id="{E8255444-3BC2-485B-8D07-3C4894889966}"/>
            </a:ext>
          </a:extLst>
        </xdr:cNvPr>
        <xdr:cNvSpPr txBox="1"/>
      </xdr:nvSpPr>
      <xdr:spPr>
        <a:xfrm>
          <a:off x="3863259" y="742313"/>
          <a:ext cx="1109086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PRODUÇÃO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>
    <xdr:from>
      <xdr:col>4</xdr:col>
      <xdr:colOff>112253</xdr:colOff>
      <xdr:row>4</xdr:row>
      <xdr:rowOff>11428</xdr:rowOff>
    </xdr:from>
    <xdr:to>
      <xdr:col>6</xdr:col>
      <xdr:colOff>32240</xdr:colOff>
      <xdr:row>5</xdr:row>
      <xdr:rowOff>78103</xdr:rowOff>
    </xdr:to>
    <xdr:sp macro="" textlink="">
      <xdr:nvSpPr>
        <xdr:cNvPr id="15" name="Caixa de Texto 58">
          <a:extLst>
            <a:ext uri="{FF2B5EF4-FFF2-40B4-BE49-F238E27FC236}">
              <a16:creationId xmlns:a16="http://schemas.microsoft.com/office/drawing/2014/main" id="{943A9842-DCF2-4DD0-A8A6-E9625F893146}"/>
            </a:ext>
          </a:extLst>
        </xdr:cNvPr>
        <xdr:cNvSpPr txBox="1"/>
      </xdr:nvSpPr>
      <xdr:spPr>
        <a:xfrm>
          <a:off x="2550653" y="742948"/>
          <a:ext cx="1139187" cy="24955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 b="1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CADASTRO</a:t>
          </a:r>
          <a:endParaRPr lang="pt-BR" altLang="en-US" sz="1100">
            <a:solidFill>
              <a:schemeClr val="bg1"/>
            </a:solidFill>
          </a:endParaRPr>
        </a:p>
        <a:p>
          <a:pPr algn="ctr"/>
          <a:endParaRPr lang="pt-BR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261524</xdr:colOff>
      <xdr:row>4</xdr:row>
      <xdr:rowOff>5566</xdr:rowOff>
    </xdr:from>
    <xdr:to>
      <xdr:col>10</xdr:col>
      <xdr:colOff>162163</xdr:colOff>
      <xdr:row>5</xdr:row>
      <xdr:rowOff>31491</xdr:rowOff>
    </xdr:to>
    <xdr:sp macro="" textlink="">
      <xdr:nvSpPr>
        <xdr:cNvPr id="16" name="Caixa de Texto 59">
          <a:extLst>
            <a:ext uri="{FF2B5EF4-FFF2-40B4-BE49-F238E27FC236}">
              <a16:creationId xmlns:a16="http://schemas.microsoft.com/office/drawing/2014/main" id="{D3F6545E-CC1B-48A0-B3D0-DE869F110CB9}"/>
            </a:ext>
          </a:extLst>
        </xdr:cNvPr>
        <xdr:cNvSpPr txBox="1"/>
      </xdr:nvSpPr>
      <xdr:spPr>
        <a:xfrm>
          <a:off x="5138324" y="737086"/>
          <a:ext cx="1119839" cy="20880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pt-BR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altLang="en-US" sz="1100">
              <a:solidFill>
                <a:schemeClr val="bg1"/>
              </a:solidFill>
              <a:latin typeface="Arial Black" panose="020B0A04020102020204" charset="0"/>
              <a:cs typeface="Arial Black" panose="020B0A04020102020204" charset="0"/>
            </a:rPr>
            <a:t>EXPEDIÇÃO</a:t>
          </a:r>
          <a:endParaRPr lang="pt-BR" altLang="en-US" sz="1100"/>
        </a:p>
        <a:p>
          <a:pPr algn="l"/>
          <a:endParaRPr lang="pt-BR" altLang="en-US" sz="1100"/>
        </a:p>
      </xdr:txBody>
    </xdr:sp>
    <xdr:clientData/>
  </xdr:twoCellAnchor>
  <xdr:twoCellAnchor editAs="oneCell">
    <xdr:from>
      <xdr:col>4</xdr:col>
      <xdr:colOff>471663</xdr:colOff>
      <xdr:row>1</xdr:row>
      <xdr:rowOff>85723</xdr:rowOff>
    </xdr:from>
    <xdr:to>
      <xdr:col>5</xdr:col>
      <xdr:colOff>326883</xdr:colOff>
      <xdr:row>3</xdr:row>
      <xdr:rowOff>175893</xdr:rowOff>
    </xdr:to>
    <xdr:pic>
      <xdr:nvPicPr>
        <xdr:cNvPr id="17" name="Imagem 16" descr="checklist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28D5A0-7818-46C8-9DF6-E7CEB48EE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910063" y="268603"/>
          <a:ext cx="464820" cy="455930"/>
        </a:xfrm>
        <a:prstGeom prst="rect">
          <a:avLst/>
        </a:prstGeom>
      </xdr:spPr>
    </xdr:pic>
    <xdr:clientData/>
  </xdr:twoCellAnchor>
  <xdr:twoCellAnchor editAs="oneCell">
    <xdr:from>
      <xdr:col>8</xdr:col>
      <xdr:colOff>541490</xdr:colOff>
      <xdr:row>1</xdr:row>
      <xdr:rowOff>33200</xdr:rowOff>
    </xdr:from>
    <xdr:to>
      <xdr:col>9</xdr:col>
      <xdr:colOff>428362</xdr:colOff>
      <xdr:row>3</xdr:row>
      <xdr:rowOff>165390</xdr:rowOff>
    </xdr:to>
    <xdr:pic>
      <xdr:nvPicPr>
        <xdr:cNvPr id="18" name="Imagem 17" descr="delivery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27A40F-DB2B-4D28-AC37-14F063B73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18290" y="216080"/>
          <a:ext cx="496472" cy="497950"/>
        </a:xfrm>
        <a:prstGeom prst="rect">
          <a:avLst/>
        </a:prstGeom>
      </xdr:spPr>
    </xdr:pic>
    <xdr:clientData/>
  </xdr:twoCellAnchor>
  <xdr:twoCellAnchor editAs="oneCell">
    <xdr:from>
      <xdr:col>6</xdr:col>
      <xdr:colOff>507809</xdr:colOff>
      <xdr:row>1</xdr:row>
      <xdr:rowOff>107458</xdr:rowOff>
    </xdr:from>
    <xdr:to>
      <xdr:col>7</xdr:col>
      <xdr:colOff>377634</xdr:colOff>
      <xdr:row>3</xdr:row>
      <xdr:rowOff>178578</xdr:rowOff>
    </xdr:to>
    <xdr:pic>
      <xdr:nvPicPr>
        <xdr:cNvPr id="19" name="Imagem 18" descr="productio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4376F05-D926-4B67-AD73-310A94C02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65409" y="290338"/>
          <a:ext cx="479425" cy="43688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2EF2EC-088B-4565-BFCC-761416CA8A45}" name="CLIENTES" displayName="CLIENTES" ref="B6:C191" totalsRowShown="0" headerRowDxfId="26" headerRowBorderDxfId="25" tableBorderDxfId="24" totalsRowBorderDxfId="23">
  <tableColumns count="2">
    <tableColumn id="1" xr3:uid="{96EBC7CD-7308-425A-8053-E7C05C24DB48}" name="Clientes" dataDxfId="22"/>
    <tableColumn id="2" xr3:uid="{F1FCD413-5C70-46B4-A556-D3F6CBA39388}" name="Código_Cliente" dataDxfId="2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D8531F-DDF9-4D75-94D3-8458188F8EA8}" name="PRODUTOS" displayName="PRODUTOS" ref="A6:D719" totalsRowShown="0" headerRowDxfId="20" dataDxfId="18" headerRowBorderDxfId="19" tableBorderDxfId="17" totalsRowBorderDxfId="16">
  <tableColumns count="4">
    <tableColumn id="1" xr3:uid="{FF39C5F7-9520-438B-8049-F25EC756AF0E}" name="Código_Produto_" dataDxfId="15"/>
    <tableColumn id="2" xr3:uid="{8C2CB3C5-80C8-4212-98C0-0838184EBBF5}" name="Produto" dataDxfId="14"/>
    <tableColumn id="3" xr3:uid="{A18DF813-F914-4EB6-B8FB-03F49D7FBF0F}" name="Código_Produto" dataDxfId="13"/>
    <tableColumn id="4" xr3:uid="{95DA4268-8844-4371-8C1B-9E713F64CA05}" name="Valor_Metro" dataDxfId="1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BB46E1-CFDD-4245-9613-600CCE150943}" name="VENDEDORES" displayName="VENDEDORES" ref="B6:C20" totalsRowShown="0" headerRowDxfId="11" dataDxfId="9" headerRowBorderDxfId="10" tableBorderDxfId="8" totalsRowBorderDxfId="7">
  <sortState ref="B7:B18">
    <sortCondition ref="B6:B18"/>
  </sortState>
  <tableColumns count="2">
    <tableColumn id="1" xr3:uid="{17A5AFD6-BA9F-4D68-BC15-38B3B4C726A2}" name="Vendedores_ACA" dataDxfId="6"/>
    <tableColumn id="2" xr3:uid="{467D059C-79D3-4B9F-8E60-43EE928F0717}" name="Código_Vendedor_ACA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E74A8-078C-4A3D-834F-C516D47AF3AA}">
  <sheetPr codeName="Planilha3"/>
  <dimension ref="A1"/>
  <sheetViews>
    <sheetView showGridLines="0" zoomScale="130" zoomScaleNormal="130" workbookViewId="0"/>
  </sheetViews>
  <sheetFormatPr defaultRowHeight="15"/>
  <sheetData/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19BC-7DE4-4578-A9A2-EA940F2D5B44}">
  <sheetPr codeName="Planilha4"/>
  <dimension ref="A1:J191"/>
  <sheetViews>
    <sheetView showGridLines="0" zoomScaleNormal="100" workbookViewId="0">
      <selection activeCell="J28" sqref="J28"/>
    </sheetView>
  </sheetViews>
  <sheetFormatPr defaultRowHeight="15"/>
  <cols>
    <col min="1" max="1" width="7.85546875" customWidth="1"/>
    <col min="2" max="2" width="43.85546875" style="20" customWidth="1"/>
    <col min="3" max="3" width="20.42578125" style="21" customWidth="1"/>
    <col min="4" max="4" width="2" customWidth="1"/>
    <col min="5" max="5" width="8.85546875" customWidth="1"/>
    <col min="6" max="6" width="11.28515625" customWidth="1"/>
    <col min="7" max="7" width="19.85546875" customWidth="1"/>
    <col min="8" max="8" width="28.42578125" customWidth="1"/>
    <col min="9" max="9" width="3.42578125" customWidth="1"/>
    <col min="10" max="10" width="9.28515625" customWidth="1"/>
    <col min="11" max="11" width="6.5703125" customWidth="1"/>
    <col min="12" max="12" width="7.42578125" customWidth="1"/>
  </cols>
  <sheetData>
    <row r="1" spans="1:10">
      <c r="F1" s="1"/>
      <c r="G1" s="1"/>
      <c r="H1" s="1"/>
      <c r="I1" s="1"/>
      <c r="J1" s="1"/>
    </row>
    <row r="2" spans="1:10" ht="14.45" customHeight="1">
      <c r="B2" s="207" t="s">
        <v>923</v>
      </c>
      <c r="C2" s="207"/>
      <c r="D2" s="14"/>
      <c r="F2" s="1"/>
      <c r="G2" s="1"/>
      <c r="H2" s="1"/>
      <c r="I2" s="1"/>
      <c r="J2" s="14"/>
    </row>
    <row r="3" spans="1:10" ht="14.45" customHeight="1">
      <c r="B3" s="207"/>
      <c r="C3" s="207"/>
      <c r="D3" s="14"/>
      <c r="J3" s="14"/>
    </row>
    <row r="4" spans="1:10" ht="14.45" customHeight="1">
      <c r="B4" s="207"/>
      <c r="C4" s="207"/>
      <c r="D4" s="14"/>
      <c r="E4" s="1"/>
      <c r="F4" s="1"/>
      <c r="G4" s="1"/>
      <c r="H4" s="1"/>
      <c r="I4" s="1"/>
      <c r="J4" s="14"/>
    </row>
    <row r="5" spans="1:10" ht="14.45" customHeight="1">
      <c r="A5" s="1"/>
      <c r="B5" s="27"/>
      <c r="C5" s="27"/>
      <c r="D5" s="14"/>
      <c r="E5" s="46"/>
      <c r="F5" s="1"/>
      <c r="G5" s="1"/>
      <c r="H5" s="1"/>
      <c r="I5" s="1"/>
    </row>
    <row r="6" spans="1:10" ht="15.75">
      <c r="B6" s="28" t="s">
        <v>7</v>
      </c>
      <c r="C6" s="29" t="s">
        <v>922</v>
      </c>
      <c r="E6" s="1"/>
      <c r="F6" s="1"/>
      <c r="G6" s="1"/>
      <c r="H6" s="1"/>
      <c r="I6" s="1"/>
    </row>
    <row r="7" spans="1:10" ht="15.75">
      <c r="B7" s="30" t="s">
        <v>127</v>
      </c>
      <c r="C7" s="31"/>
      <c r="E7" s="1"/>
      <c r="F7" s="1"/>
      <c r="G7" s="3"/>
      <c r="H7" s="1"/>
      <c r="I7" s="1"/>
    </row>
    <row r="8" spans="1:10">
      <c r="B8" s="32" t="s">
        <v>142</v>
      </c>
      <c r="C8" s="31"/>
      <c r="E8" s="208" t="s">
        <v>924</v>
      </c>
      <c r="F8" s="209"/>
      <c r="G8" s="209"/>
      <c r="H8" s="209"/>
      <c r="I8" s="210"/>
    </row>
    <row r="9" spans="1:10">
      <c r="B9" s="30" t="s">
        <v>62</v>
      </c>
      <c r="C9" s="31"/>
      <c r="E9" s="211"/>
      <c r="F9" s="207"/>
      <c r="G9" s="207"/>
      <c r="H9" s="207"/>
      <c r="I9" s="207"/>
      <c r="J9" s="5"/>
    </row>
    <row r="10" spans="1:10">
      <c r="B10" s="32" t="s">
        <v>178</v>
      </c>
      <c r="C10" s="31"/>
      <c r="E10" s="211"/>
      <c r="F10" s="207"/>
      <c r="G10" s="207"/>
      <c r="H10" s="207"/>
      <c r="I10" s="207"/>
      <c r="J10" s="5"/>
    </row>
    <row r="11" spans="1:10" ht="15.75" thickBot="1">
      <c r="B11" s="30" t="s">
        <v>49</v>
      </c>
      <c r="C11" s="31"/>
      <c r="D11" s="6"/>
      <c r="E11" s="1"/>
      <c r="F11" s="1"/>
      <c r="G11" s="1"/>
      <c r="H11" s="1"/>
      <c r="I11" s="1"/>
      <c r="J11" s="5"/>
    </row>
    <row r="12" spans="1:10" ht="15.75">
      <c r="B12" s="32" t="s">
        <v>92</v>
      </c>
      <c r="C12" s="31"/>
      <c r="D12" s="6"/>
      <c r="E12" s="1"/>
      <c r="F12" s="1"/>
      <c r="G12" s="2" t="s">
        <v>918</v>
      </c>
      <c r="H12" s="25"/>
      <c r="I12" s="1"/>
      <c r="J12" s="5"/>
    </row>
    <row r="13" spans="1:10" ht="16.5" thickBot="1">
      <c r="B13" s="30" t="s">
        <v>50</v>
      </c>
      <c r="C13" s="31"/>
      <c r="D13" s="6"/>
      <c r="E13" s="1"/>
      <c r="G13" s="3"/>
      <c r="H13" s="1"/>
      <c r="I13" s="1"/>
      <c r="J13" s="5"/>
    </row>
    <row r="14" spans="1:10" ht="15.75">
      <c r="B14" s="32" t="s">
        <v>106</v>
      </c>
      <c r="C14" s="33"/>
      <c r="D14" s="6"/>
      <c r="G14" s="2" t="s">
        <v>919</v>
      </c>
      <c r="H14" s="9" t="s">
        <v>936</v>
      </c>
      <c r="I14" s="1"/>
      <c r="J14" s="5"/>
    </row>
    <row r="15" spans="1:10">
      <c r="B15" s="30" t="s">
        <v>155</v>
      </c>
      <c r="C15" s="31"/>
      <c r="D15" s="6"/>
      <c r="J15" s="5"/>
    </row>
    <row r="16" spans="1:10">
      <c r="B16" s="32" t="s">
        <v>130</v>
      </c>
      <c r="C16" s="33"/>
      <c r="D16" s="6"/>
      <c r="J16" s="5"/>
    </row>
    <row r="17" spans="2:10">
      <c r="B17" s="30" t="s">
        <v>151</v>
      </c>
      <c r="C17" s="31"/>
      <c r="D17" s="6"/>
      <c r="E17" s="8"/>
      <c r="F17" s="7"/>
      <c r="G17" s="7"/>
      <c r="H17" s="7"/>
      <c r="I17" s="7"/>
      <c r="J17" s="5"/>
    </row>
    <row r="18" spans="2:10" ht="14.45" customHeight="1">
      <c r="B18" s="32" t="s">
        <v>163</v>
      </c>
      <c r="C18" s="33"/>
    </row>
    <row r="19" spans="2:10" ht="14.45" customHeight="1">
      <c r="B19" s="30" t="s">
        <v>914</v>
      </c>
      <c r="C19" s="31"/>
    </row>
    <row r="20" spans="2:10" ht="14.45" customHeight="1">
      <c r="B20" s="32" t="s">
        <v>102</v>
      </c>
      <c r="C20" s="33"/>
    </row>
    <row r="21" spans="2:10">
      <c r="B21" s="30" t="s">
        <v>171</v>
      </c>
      <c r="C21" s="31"/>
    </row>
    <row r="22" spans="2:10">
      <c r="B22" s="32" t="s">
        <v>91</v>
      </c>
      <c r="C22" s="33"/>
    </row>
    <row r="23" spans="2:10">
      <c r="B23" s="30" t="s">
        <v>61</v>
      </c>
      <c r="C23" s="31"/>
    </row>
    <row r="24" spans="2:10">
      <c r="B24" s="32" t="s">
        <v>915</v>
      </c>
      <c r="C24" s="33"/>
    </row>
    <row r="25" spans="2:10">
      <c r="B25" s="30" t="s">
        <v>38</v>
      </c>
      <c r="C25" s="31"/>
    </row>
    <row r="26" spans="2:10">
      <c r="B26" s="32" t="s">
        <v>167</v>
      </c>
      <c r="C26" s="33"/>
    </row>
    <row r="27" spans="2:10">
      <c r="B27" s="30" t="s">
        <v>84</v>
      </c>
      <c r="C27" s="31"/>
    </row>
    <row r="28" spans="2:10">
      <c r="B28" s="32" t="s">
        <v>105</v>
      </c>
      <c r="C28" s="33"/>
    </row>
    <row r="29" spans="2:10">
      <c r="B29" s="30" t="s">
        <v>35</v>
      </c>
      <c r="C29" s="31"/>
    </row>
    <row r="30" spans="2:10">
      <c r="B30" s="32" t="s">
        <v>110</v>
      </c>
      <c r="C30" s="33"/>
    </row>
    <row r="31" spans="2:10">
      <c r="B31" s="30" t="s">
        <v>147</v>
      </c>
      <c r="C31" s="31"/>
    </row>
    <row r="32" spans="2:10">
      <c r="B32" s="32" t="s">
        <v>146</v>
      </c>
      <c r="C32" s="33"/>
    </row>
    <row r="33" spans="2:3">
      <c r="B33" s="30" t="s">
        <v>66</v>
      </c>
      <c r="C33" s="31"/>
    </row>
    <row r="34" spans="2:3">
      <c r="B34" s="32" t="s">
        <v>96</v>
      </c>
      <c r="C34" s="33"/>
    </row>
    <row r="35" spans="2:3">
      <c r="B35" s="30" t="s">
        <v>116</v>
      </c>
      <c r="C35" s="31"/>
    </row>
    <row r="36" spans="2:3">
      <c r="B36" s="32" t="s">
        <v>32</v>
      </c>
      <c r="C36" s="33"/>
    </row>
    <row r="37" spans="2:3">
      <c r="B37" s="30" t="s">
        <v>24</v>
      </c>
      <c r="C37" s="31"/>
    </row>
    <row r="38" spans="2:3">
      <c r="B38" s="32" t="s">
        <v>128</v>
      </c>
      <c r="C38" s="33"/>
    </row>
    <row r="39" spans="2:3">
      <c r="B39" s="30" t="s">
        <v>145</v>
      </c>
      <c r="C39" s="31"/>
    </row>
    <row r="40" spans="2:3">
      <c r="B40" s="32" t="s">
        <v>115</v>
      </c>
      <c r="C40" s="33"/>
    </row>
    <row r="41" spans="2:3">
      <c r="B41" s="30" t="s">
        <v>14</v>
      </c>
      <c r="C41" s="31"/>
    </row>
    <row r="42" spans="2:3">
      <c r="B42" s="32" t="s">
        <v>25</v>
      </c>
      <c r="C42" s="33"/>
    </row>
    <row r="43" spans="2:3">
      <c r="B43" s="30" t="s">
        <v>117</v>
      </c>
      <c r="C43" s="31"/>
    </row>
    <row r="44" spans="2:3">
      <c r="B44" s="32" t="s">
        <v>69</v>
      </c>
      <c r="C44" s="33"/>
    </row>
    <row r="45" spans="2:3">
      <c r="B45" s="30" t="s">
        <v>916</v>
      </c>
      <c r="C45" s="31"/>
    </row>
    <row r="46" spans="2:3">
      <c r="B46" s="32" t="s">
        <v>174</v>
      </c>
      <c r="C46" s="33"/>
    </row>
    <row r="47" spans="2:3">
      <c r="B47" s="30" t="s">
        <v>152</v>
      </c>
      <c r="C47" s="31"/>
    </row>
    <row r="48" spans="2:3">
      <c r="B48" s="32" t="s">
        <v>52</v>
      </c>
      <c r="C48" s="33"/>
    </row>
    <row r="49" spans="2:3">
      <c r="B49" s="30" t="s">
        <v>144</v>
      </c>
      <c r="C49" s="31"/>
    </row>
    <row r="50" spans="2:3">
      <c r="B50" s="32" t="s">
        <v>90</v>
      </c>
      <c r="C50" s="33"/>
    </row>
    <row r="51" spans="2:3">
      <c r="B51" s="30" t="s">
        <v>78</v>
      </c>
      <c r="C51" s="31"/>
    </row>
    <row r="52" spans="2:3">
      <c r="B52" s="32" t="s">
        <v>70</v>
      </c>
      <c r="C52" s="33"/>
    </row>
    <row r="53" spans="2:3">
      <c r="B53" s="30" t="s">
        <v>188</v>
      </c>
      <c r="C53" s="31"/>
    </row>
    <row r="54" spans="2:3">
      <c r="B54" s="32" t="s">
        <v>88</v>
      </c>
      <c r="C54" s="33"/>
    </row>
    <row r="55" spans="2:3">
      <c r="B55" s="30" t="s">
        <v>186</v>
      </c>
      <c r="C55" s="31"/>
    </row>
    <row r="56" spans="2:3">
      <c r="B56" s="32" t="s">
        <v>123</v>
      </c>
      <c r="C56" s="33"/>
    </row>
    <row r="57" spans="2:3">
      <c r="B57" s="30" t="s">
        <v>13</v>
      </c>
      <c r="C57" s="31"/>
    </row>
    <row r="58" spans="2:3">
      <c r="B58" s="32" t="s">
        <v>9</v>
      </c>
      <c r="C58" s="33"/>
    </row>
    <row r="59" spans="2:3">
      <c r="B59" s="30" t="s">
        <v>98</v>
      </c>
      <c r="C59" s="31"/>
    </row>
    <row r="60" spans="2:3">
      <c r="B60" s="32" t="s">
        <v>47</v>
      </c>
      <c r="C60" s="33"/>
    </row>
    <row r="61" spans="2:3">
      <c r="B61" s="30" t="s">
        <v>172</v>
      </c>
      <c r="C61" s="31"/>
    </row>
    <row r="62" spans="2:3">
      <c r="B62" s="32" t="s">
        <v>93</v>
      </c>
      <c r="C62" s="33"/>
    </row>
    <row r="63" spans="2:3">
      <c r="B63" s="30" t="s">
        <v>175</v>
      </c>
      <c r="C63" s="31"/>
    </row>
    <row r="64" spans="2:3">
      <c r="B64" s="32" t="s">
        <v>183</v>
      </c>
      <c r="C64" s="33"/>
    </row>
    <row r="65" spans="2:3">
      <c r="B65" s="30" t="s">
        <v>79</v>
      </c>
      <c r="C65" s="31"/>
    </row>
    <row r="66" spans="2:3">
      <c r="B66" s="32" t="s">
        <v>187</v>
      </c>
      <c r="C66" s="33"/>
    </row>
    <row r="67" spans="2:3">
      <c r="B67" s="30" t="s">
        <v>132</v>
      </c>
      <c r="C67" s="31"/>
    </row>
    <row r="68" spans="2:3">
      <c r="B68" s="32" t="s">
        <v>124</v>
      </c>
      <c r="C68" s="33"/>
    </row>
    <row r="69" spans="2:3">
      <c r="B69" s="30" t="s">
        <v>131</v>
      </c>
      <c r="C69" s="31"/>
    </row>
    <row r="70" spans="2:3">
      <c r="B70" s="32" t="s">
        <v>18</v>
      </c>
      <c r="C70" s="33"/>
    </row>
    <row r="71" spans="2:3">
      <c r="B71" s="30" t="s">
        <v>31</v>
      </c>
      <c r="C71" s="31"/>
    </row>
    <row r="72" spans="2:3">
      <c r="B72" s="32" t="s">
        <v>169</v>
      </c>
      <c r="C72" s="33"/>
    </row>
    <row r="73" spans="2:3">
      <c r="B73" s="30" t="s">
        <v>86</v>
      </c>
      <c r="C73" s="31"/>
    </row>
    <row r="74" spans="2:3">
      <c r="B74" s="32" t="s">
        <v>111</v>
      </c>
      <c r="C74" s="33"/>
    </row>
    <row r="75" spans="2:3">
      <c r="B75" s="30" t="s">
        <v>150</v>
      </c>
      <c r="C75" s="31"/>
    </row>
    <row r="76" spans="2:3">
      <c r="B76" s="32" t="s">
        <v>133</v>
      </c>
      <c r="C76" s="33"/>
    </row>
    <row r="77" spans="2:3">
      <c r="B77" s="30" t="s">
        <v>95</v>
      </c>
      <c r="C77" s="31"/>
    </row>
    <row r="78" spans="2:3">
      <c r="B78" s="32" t="s">
        <v>41</v>
      </c>
      <c r="C78" s="33"/>
    </row>
    <row r="79" spans="2:3">
      <c r="B79" s="30" t="s">
        <v>59</v>
      </c>
      <c r="C79" s="31"/>
    </row>
    <row r="80" spans="2:3">
      <c r="B80" s="32" t="s">
        <v>68</v>
      </c>
      <c r="C80" s="33"/>
    </row>
    <row r="81" spans="2:3">
      <c r="B81" s="30" t="s">
        <v>112</v>
      </c>
      <c r="C81" s="31"/>
    </row>
    <row r="82" spans="2:3">
      <c r="B82" s="32" t="s">
        <v>74</v>
      </c>
      <c r="C82" s="33"/>
    </row>
    <row r="83" spans="2:3">
      <c r="B83" s="30" t="s">
        <v>8</v>
      </c>
      <c r="C83" s="31"/>
    </row>
    <row r="84" spans="2:3">
      <c r="B84" s="32" t="s">
        <v>97</v>
      </c>
      <c r="C84" s="33"/>
    </row>
    <row r="85" spans="2:3">
      <c r="B85" s="30" t="s">
        <v>166</v>
      </c>
      <c r="C85" s="31"/>
    </row>
    <row r="86" spans="2:3">
      <c r="B86" s="32" t="s">
        <v>121</v>
      </c>
      <c r="C86" s="33"/>
    </row>
    <row r="87" spans="2:3">
      <c r="B87" s="30" t="s">
        <v>87</v>
      </c>
      <c r="C87" s="31"/>
    </row>
    <row r="88" spans="2:3">
      <c r="B88" s="32" t="s">
        <v>65</v>
      </c>
      <c r="C88" s="33"/>
    </row>
    <row r="89" spans="2:3">
      <c r="B89" s="30" t="s">
        <v>138</v>
      </c>
      <c r="C89" s="31"/>
    </row>
    <row r="90" spans="2:3">
      <c r="B90" s="32" t="s">
        <v>104</v>
      </c>
      <c r="C90" s="33"/>
    </row>
    <row r="91" spans="2:3">
      <c r="B91" s="30" t="s">
        <v>140</v>
      </c>
      <c r="C91" s="31"/>
    </row>
    <row r="92" spans="2:3">
      <c r="B92" s="32" t="s">
        <v>159</v>
      </c>
      <c r="C92" s="33"/>
    </row>
    <row r="93" spans="2:3">
      <c r="B93" s="30" t="s">
        <v>33</v>
      </c>
      <c r="C93" s="31"/>
    </row>
    <row r="94" spans="2:3">
      <c r="B94" s="32" t="s">
        <v>44</v>
      </c>
      <c r="C94" s="33"/>
    </row>
    <row r="95" spans="2:3">
      <c r="B95" s="30" t="s">
        <v>119</v>
      </c>
      <c r="C95" s="31"/>
    </row>
    <row r="96" spans="2:3">
      <c r="B96" s="32" t="s">
        <v>48</v>
      </c>
      <c r="C96" s="33"/>
    </row>
    <row r="97" spans="2:3">
      <c r="B97" s="30" t="s">
        <v>72</v>
      </c>
      <c r="C97" s="31"/>
    </row>
    <row r="98" spans="2:3">
      <c r="B98" s="32" t="s">
        <v>148</v>
      </c>
      <c r="C98" s="33"/>
    </row>
    <row r="99" spans="2:3">
      <c r="B99" s="30" t="s">
        <v>125</v>
      </c>
      <c r="C99" s="31"/>
    </row>
    <row r="100" spans="2:3">
      <c r="B100" s="32" t="s">
        <v>71</v>
      </c>
      <c r="C100" s="33"/>
    </row>
    <row r="101" spans="2:3">
      <c r="B101" s="30" t="s">
        <v>55</v>
      </c>
      <c r="C101" s="31"/>
    </row>
    <row r="102" spans="2:3">
      <c r="B102" s="32" t="s">
        <v>94</v>
      </c>
      <c r="C102" s="33"/>
    </row>
    <row r="103" spans="2:3">
      <c r="B103" s="30" t="s">
        <v>136</v>
      </c>
      <c r="C103" s="31"/>
    </row>
    <row r="104" spans="2:3">
      <c r="B104" s="32" t="s">
        <v>34</v>
      </c>
      <c r="C104" s="33"/>
    </row>
    <row r="105" spans="2:3">
      <c r="B105" s="30" t="s">
        <v>30</v>
      </c>
      <c r="C105" s="31"/>
    </row>
    <row r="106" spans="2:3">
      <c r="B106" s="32" t="s">
        <v>67</v>
      </c>
      <c r="C106" s="33"/>
    </row>
    <row r="107" spans="2:3">
      <c r="B107" s="30" t="s">
        <v>168</v>
      </c>
      <c r="C107" s="31"/>
    </row>
    <row r="108" spans="2:3">
      <c r="B108" s="32" t="s">
        <v>173</v>
      </c>
      <c r="C108" s="33"/>
    </row>
    <row r="109" spans="2:3">
      <c r="B109" s="30" t="s">
        <v>37</v>
      </c>
      <c r="C109" s="31"/>
    </row>
    <row r="110" spans="2:3">
      <c r="B110" s="32" t="s">
        <v>108</v>
      </c>
      <c r="C110" s="33"/>
    </row>
    <row r="111" spans="2:3">
      <c r="B111" s="30" t="s">
        <v>19</v>
      </c>
      <c r="C111" s="31"/>
    </row>
    <row r="112" spans="2:3">
      <c r="B112" s="32" t="s">
        <v>76</v>
      </c>
      <c r="C112" s="33"/>
    </row>
    <row r="113" spans="2:3">
      <c r="B113" s="30" t="s">
        <v>100</v>
      </c>
      <c r="C113" s="31"/>
    </row>
    <row r="114" spans="2:3">
      <c r="B114" s="32" t="s">
        <v>17</v>
      </c>
      <c r="C114" s="33"/>
    </row>
    <row r="115" spans="2:3">
      <c r="B115" s="30" t="s">
        <v>122</v>
      </c>
      <c r="C115" s="31"/>
    </row>
    <row r="116" spans="2:3">
      <c r="B116" s="32" t="s">
        <v>156</v>
      </c>
      <c r="C116" s="33"/>
    </row>
    <row r="117" spans="2:3">
      <c r="B117" s="30" t="s">
        <v>149</v>
      </c>
      <c r="C117" s="31"/>
    </row>
    <row r="118" spans="2:3">
      <c r="B118" s="32" t="s">
        <v>180</v>
      </c>
      <c r="C118" s="33"/>
    </row>
    <row r="119" spans="2:3">
      <c r="B119" s="30" t="s">
        <v>137</v>
      </c>
      <c r="C119" s="31"/>
    </row>
    <row r="120" spans="2:3">
      <c r="B120" s="32" t="s">
        <v>164</v>
      </c>
      <c r="C120" s="33"/>
    </row>
    <row r="121" spans="2:3">
      <c r="B121" s="30" t="s">
        <v>81</v>
      </c>
      <c r="C121" s="31"/>
    </row>
    <row r="122" spans="2:3">
      <c r="B122" s="32" t="s">
        <v>21</v>
      </c>
      <c r="C122" s="33"/>
    </row>
    <row r="123" spans="2:3">
      <c r="B123" s="30" t="s">
        <v>22</v>
      </c>
      <c r="C123" s="31"/>
    </row>
    <row r="124" spans="2:3">
      <c r="B124" s="32" t="s">
        <v>89</v>
      </c>
      <c r="C124" s="33"/>
    </row>
    <row r="125" spans="2:3">
      <c r="B125" s="30" t="s">
        <v>53</v>
      </c>
      <c r="C125" s="31"/>
    </row>
    <row r="126" spans="2:3">
      <c r="B126" s="32" t="s">
        <v>73</v>
      </c>
      <c r="C126" s="33"/>
    </row>
    <row r="127" spans="2:3">
      <c r="B127" s="30" t="s">
        <v>42</v>
      </c>
      <c r="C127" s="31"/>
    </row>
    <row r="128" spans="2:3">
      <c r="B128" s="32" t="s">
        <v>75</v>
      </c>
      <c r="C128" s="33"/>
    </row>
    <row r="129" spans="2:3">
      <c r="B129" s="30" t="s">
        <v>63</v>
      </c>
      <c r="C129" s="31"/>
    </row>
    <row r="130" spans="2:3">
      <c r="B130" s="32" t="s">
        <v>182</v>
      </c>
      <c r="C130" s="33"/>
    </row>
    <row r="131" spans="2:3">
      <c r="B131" s="30" t="s">
        <v>103</v>
      </c>
      <c r="C131" s="31"/>
    </row>
    <row r="132" spans="2:3">
      <c r="B132" s="32" t="s">
        <v>16</v>
      </c>
      <c r="C132" s="33"/>
    </row>
    <row r="133" spans="2:3">
      <c r="B133" s="30" t="s">
        <v>134</v>
      </c>
      <c r="C133" s="31"/>
    </row>
    <row r="134" spans="2:3">
      <c r="B134" s="32" t="s">
        <v>157</v>
      </c>
      <c r="C134" s="33"/>
    </row>
    <row r="135" spans="2:3">
      <c r="B135" s="30" t="s">
        <v>60</v>
      </c>
      <c r="C135" s="31"/>
    </row>
    <row r="136" spans="2:3">
      <c r="B136" s="32" t="s">
        <v>135</v>
      </c>
      <c r="C136" s="33"/>
    </row>
    <row r="137" spans="2:3">
      <c r="B137" s="30" t="s">
        <v>113</v>
      </c>
      <c r="C137" s="31"/>
    </row>
    <row r="138" spans="2:3">
      <c r="B138" s="32" t="s">
        <v>43</v>
      </c>
      <c r="C138" s="33"/>
    </row>
    <row r="139" spans="2:3">
      <c r="B139" s="30" t="s">
        <v>57</v>
      </c>
      <c r="C139" s="31"/>
    </row>
    <row r="140" spans="2:3">
      <c r="B140" s="32" t="s">
        <v>11</v>
      </c>
      <c r="C140" s="33"/>
    </row>
    <row r="141" spans="2:3">
      <c r="B141" s="30" t="s">
        <v>23</v>
      </c>
      <c r="C141" s="31"/>
    </row>
    <row r="142" spans="2:3">
      <c r="B142" s="32" t="s">
        <v>177</v>
      </c>
      <c r="C142" s="33"/>
    </row>
    <row r="143" spans="2:3">
      <c r="B143" s="30" t="s">
        <v>126</v>
      </c>
      <c r="C143" s="31"/>
    </row>
    <row r="144" spans="2:3">
      <c r="B144" s="32" t="s">
        <v>46</v>
      </c>
      <c r="C144" s="33"/>
    </row>
    <row r="145" spans="2:3">
      <c r="B145" s="30" t="s">
        <v>101</v>
      </c>
      <c r="C145" s="31"/>
    </row>
    <row r="146" spans="2:3">
      <c r="B146" s="32" t="s">
        <v>109</v>
      </c>
      <c r="C146" s="33"/>
    </row>
    <row r="147" spans="2:3">
      <c r="B147" s="30" t="s">
        <v>129</v>
      </c>
      <c r="C147" s="31"/>
    </row>
    <row r="148" spans="2:3">
      <c r="B148" s="32" t="s">
        <v>51</v>
      </c>
      <c r="C148" s="33"/>
    </row>
    <row r="149" spans="2:3">
      <c r="B149" s="30" t="s">
        <v>107</v>
      </c>
      <c r="C149" s="31"/>
    </row>
    <row r="150" spans="2:3">
      <c r="B150" s="32" t="s">
        <v>26</v>
      </c>
      <c r="C150" s="33"/>
    </row>
    <row r="151" spans="2:3">
      <c r="B151" s="30" t="s">
        <v>120</v>
      </c>
      <c r="C151" s="31"/>
    </row>
    <row r="152" spans="2:3">
      <c r="B152" s="32" t="s">
        <v>143</v>
      </c>
      <c r="C152" s="33"/>
    </row>
    <row r="153" spans="2:3">
      <c r="B153" s="30" t="s">
        <v>118</v>
      </c>
      <c r="C153" s="31"/>
    </row>
    <row r="154" spans="2:3">
      <c r="B154" s="32" t="s">
        <v>161</v>
      </c>
      <c r="C154" s="33"/>
    </row>
    <row r="155" spans="2:3">
      <c r="B155" s="30" t="s">
        <v>154</v>
      </c>
      <c r="C155" s="31"/>
    </row>
    <row r="156" spans="2:3">
      <c r="B156" s="32" t="s">
        <v>141</v>
      </c>
      <c r="C156" s="33"/>
    </row>
    <row r="157" spans="2:3">
      <c r="B157" s="30" t="s">
        <v>99</v>
      </c>
      <c r="C157" s="31"/>
    </row>
    <row r="158" spans="2:3">
      <c r="B158" s="32" t="s">
        <v>20</v>
      </c>
      <c r="C158" s="33"/>
    </row>
    <row r="159" spans="2:3">
      <c r="B159" s="30" t="s">
        <v>29</v>
      </c>
      <c r="C159" s="31"/>
    </row>
    <row r="160" spans="2:3">
      <c r="B160" s="32" t="s">
        <v>85</v>
      </c>
      <c r="C160" s="33"/>
    </row>
    <row r="161" spans="2:3">
      <c r="B161" s="30" t="s">
        <v>139</v>
      </c>
      <c r="C161" s="31"/>
    </row>
    <row r="162" spans="2:3">
      <c r="B162" s="32" t="s">
        <v>170</v>
      </c>
      <c r="C162" s="33"/>
    </row>
    <row r="163" spans="2:3">
      <c r="B163" s="30" t="s">
        <v>153</v>
      </c>
      <c r="C163" s="31"/>
    </row>
    <row r="164" spans="2:3">
      <c r="B164" s="32" t="s">
        <v>77</v>
      </c>
      <c r="C164" s="33"/>
    </row>
    <row r="165" spans="2:3">
      <c r="B165" s="30" t="s">
        <v>58</v>
      </c>
      <c r="C165" s="31"/>
    </row>
    <row r="166" spans="2:3">
      <c r="B166" s="32" t="s">
        <v>10</v>
      </c>
      <c r="C166" s="33"/>
    </row>
    <row r="167" spans="2:3">
      <c r="B167" s="30" t="s">
        <v>12</v>
      </c>
      <c r="C167" s="31"/>
    </row>
    <row r="168" spans="2:3">
      <c r="B168" s="32" t="s">
        <v>162</v>
      </c>
      <c r="C168" s="33"/>
    </row>
    <row r="169" spans="2:3">
      <c r="B169" s="30" t="s">
        <v>114</v>
      </c>
      <c r="C169" s="31"/>
    </row>
    <row r="170" spans="2:3">
      <c r="B170" s="32" t="s">
        <v>39</v>
      </c>
      <c r="C170" s="33"/>
    </row>
    <row r="171" spans="2:3">
      <c r="B171" s="30" t="s">
        <v>80</v>
      </c>
      <c r="C171" s="31"/>
    </row>
    <row r="172" spans="2:3">
      <c r="B172" s="32" t="s">
        <v>36</v>
      </c>
      <c r="C172" s="33"/>
    </row>
    <row r="173" spans="2:3">
      <c r="B173" s="30" t="s">
        <v>184</v>
      </c>
      <c r="C173" s="31"/>
    </row>
    <row r="174" spans="2:3">
      <c r="B174" s="32" t="s">
        <v>27</v>
      </c>
      <c r="C174" s="33"/>
    </row>
    <row r="175" spans="2:3">
      <c r="B175" s="30" t="s">
        <v>160</v>
      </c>
      <c r="C175" s="31"/>
    </row>
    <row r="176" spans="2:3">
      <c r="B176" s="32" t="s">
        <v>185</v>
      </c>
      <c r="C176" s="33"/>
    </row>
    <row r="177" spans="2:3">
      <c r="B177" s="30" t="s">
        <v>165</v>
      </c>
      <c r="C177" s="31"/>
    </row>
    <row r="178" spans="2:3">
      <c r="B178" s="32" t="s">
        <v>56</v>
      </c>
      <c r="C178" s="33"/>
    </row>
    <row r="179" spans="2:3">
      <c r="B179" s="30" t="s">
        <v>28</v>
      </c>
      <c r="C179" s="31"/>
    </row>
    <row r="180" spans="2:3">
      <c r="B180" s="32" t="s">
        <v>176</v>
      </c>
      <c r="C180" s="33"/>
    </row>
    <row r="181" spans="2:3">
      <c r="B181" s="30" t="s">
        <v>158</v>
      </c>
      <c r="C181" s="31"/>
    </row>
    <row r="182" spans="2:3">
      <c r="B182" s="32" t="s">
        <v>82</v>
      </c>
      <c r="C182" s="33"/>
    </row>
    <row r="183" spans="2:3">
      <c r="B183" s="30" t="s">
        <v>54</v>
      </c>
      <c r="C183" s="31"/>
    </row>
    <row r="184" spans="2:3">
      <c r="B184" s="32" t="s">
        <v>40</v>
      </c>
      <c r="C184" s="33"/>
    </row>
    <row r="185" spans="2:3">
      <c r="B185" s="30" t="s">
        <v>179</v>
      </c>
      <c r="C185" s="31"/>
    </row>
    <row r="186" spans="2:3">
      <c r="B186" s="32" t="s">
        <v>15</v>
      </c>
      <c r="C186" s="33"/>
    </row>
    <row r="187" spans="2:3">
      <c r="B187" s="30" t="s">
        <v>181</v>
      </c>
      <c r="C187" s="31"/>
    </row>
    <row r="188" spans="2:3">
      <c r="B188" s="32" t="s">
        <v>45</v>
      </c>
      <c r="C188" s="33"/>
    </row>
    <row r="189" spans="2:3">
      <c r="B189" s="30" t="s">
        <v>83</v>
      </c>
      <c r="C189" s="31"/>
    </row>
    <row r="190" spans="2:3">
      <c r="B190" s="34" t="s">
        <v>64</v>
      </c>
      <c r="C190" s="35"/>
    </row>
    <row r="191" spans="2:3">
      <c r="B191" s="24" t="s">
        <v>931</v>
      </c>
      <c r="C191" s="37">
        <v>856</v>
      </c>
    </row>
  </sheetData>
  <sheetProtection selectLockedCells="1"/>
  <mergeCells count="2">
    <mergeCell ref="B2:C4"/>
    <mergeCell ref="E8:I10"/>
  </mergeCells>
  <phoneticPr fontId="10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30A2C-FF8B-4DEA-B82A-331AD7AF4086}">
  <sheetPr codeName="Planilha5"/>
  <dimension ref="A1:K1428"/>
  <sheetViews>
    <sheetView showGridLines="0" zoomScaleNormal="100" workbookViewId="0">
      <selection activeCell="A202" sqref="A202"/>
    </sheetView>
  </sheetViews>
  <sheetFormatPr defaultRowHeight="15"/>
  <cols>
    <col min="1" max="1" width="16.140625" style="16" customWidth="1"/>
    <col min="2" max="2" width="40.28515625" style="52" customWidth="1"/>
    <col min="3" max="3" width="17.7109375" style="48" customWidth="1"/>
    <col min="4" max="4" width="16.28515625" style="15" customWidth="1"/>
    <col min="5" max="5" width="8.85546875" customWidth="1"/>
    <col min="6" max="6" width="27.5703125" customWidth="1"/>
    <col min="7" max="7" width="22.7109375" customWidth="1"/>
    <col min="8" max="8" width="36.42578125" customWidth="1"/>
    <col min="9" max="9" width="2.7109375" customWidth="1"/>
    <col min="10" max="10" width="41.85546875" customWidth="1"/>
    <col min="11" max="11" width="2.28515625" customWidth="1"/>
  </cols>
  <sheetData>
    <row r="1" spans="1:11">
      <c r="F1" s="1"/>
      <c r="G1" s="1"/>
      <c r="H1" s="1"/>
      <c r="I1" s="1"/>
    </row>
    <row r="2" spans="1:11" ht="14.45" customHeight="1">
      <c r="B2" s="207" t="s">
        <v>920</v>
      </c>
      <c r="C2" s="207"/>
      <c r="D2" s="207"/>
      <c r="E2" s="1"/>
      <c r="F2" s="14"/>
      <c r="G2" s="14"/>
      <c r="H2" s="14"/>
      <c r="I2" s="14"/>
      <c r="J2" s="14"/>
      <c r="K2" s="14"/>
    </row>
    <row r="3" spans="1:11" ht="14.45" customHeight="1">
      <c r="B3" s="207"/>
      <c r="C3" s="207"/>
      <c r="D3" s="207"/>
      <c r="E3" s="1"/>
      <c r="F3" s="14"/>
      <c r="G3" s="14"/>
      <c r="H3" s="14"/>
      <c r="I3" s="14"/>
      <c r="J3" s="14"/>
      <c r="K3" s="14"/>
    </row>
    <row r="4" spans="1:11" ht="14.45" customHeight="1">
      <c r="B4" s="207"/>
      <c r="C4" s="207"/>
      <c r="D4" s="207"/>
      <c r="E4" s="1"/>
      <c r="F4" s="14"/>
      <c r="G4" s="14"/>
      <c r="H4" s="14"/>
      <c r="I4" s="14"/>
      <c r="J4" s="14"/>
      <c r="K4" s="14"/>
    </row>
    <row r="5" spans="1:11" ht="14.45" customHeight="1">
      <c r="B5" s="53"/>
      <c r="C5" s="49"/>
      <c r="D5" s="38"/>
      <c r="E5" s="1"/>
      <c r="F5" s="1"/>
      <c r="G5" s="1"/>
      <c r="H5" s="1"/>
      <c r="I5" s="1"/>
      <c r="J5" s="1"/>
      <c r="K5" s="11"/>
    </row>
    <row r="6" spans="1:11" ht="15.75">
      <c r="A6" s="23" t="s">
        <v>937</v>
      </c>
      <c r="B6" s="54" t="s">
        <v>1</v>
      </c>
      <c r="C6" s="50" t="s">
        <v>189</v>
      </c>
      <c r="D6" s="39" t="s">
        <v>823</v>
      </c>
      <c r="E6" s="1"/>
      <c r="F6" s="1"/>
      <c r="G6" s="2"/>
      <c r="I6" s="1"/>
      <c r="J6" s="1"/>
    </row>
    <row r="7" spans="1:11" ht="15.75">
      <c r="A7" s="47">
        <v>614682</v>
      </c>
      <c r="B7" s="55" t="s">
        <v>190</v>
      </c>
      <c r="C7" s="51">
        <v>614682</v>
      </c>
      <c r="D7" s="40">
        <v>1</v>
      </c>
      <c r="E7" s="1"/>
      <c r="F7" s="1"/>
      <c r="G7" s="3"/>
      <c r="H7" s="1"/>
      <c r="I7" s="1"/>
      <c r="J7" s="1"/>
    </row>
    <row r="8" spans="1:11" ht="14.45" customHeight="1">
      <c r="A8" s="47">
        <v>610013</v>
      </c>
      <c r="B8" s="55" t="s">
        <v>191</v>
      </c>
      <c r="C8" s="51">
        <v>610013</v>
      </c>
      <c r="D8" s="40">
        <v>2</v>
      </c>
      <c r="E8" s="1"/>
      <c r="F8" s="208" t="s">
        <v>921</v>
      </c>
      <c r="G8" s="209"/>
      <c r="H8" s="209"/>
      <c r="I8" s="210"/>
      <c r="J8" s="1"/>
    </row>
    <row r="9" spans="1:11" ht="14.45" customHeight="1">
      <c r="A9" s="47">
        <v>610003</v>
      </c>
      <c r="B9" s="55" t="s">
        <v>192</v>
      </c>
      <c r="C9" s="51">
        <v>610003</v>
      </c>
      <c r="D9" s="40">
        <v>3</v>
      </c>
      <c r="E9" s="1"/>
      <c r="F9" s="211"/>
      <c r="G9" s="207"/>
      <c r="H9" s="207"/>
      <c r="I9" s="212"/>
      <c r="J9" s="1"/>
    </row>
    <row r="10" spans="1:11" ht="14.45" customHeight="1">
      <c r="A10" s="47">
        <v>610015</v>
      </c>
      <c r="B10" s="55" t="s">
        <v>193</v>
      </c>
      <c r="C10" s="51">
        <v>610015</v>
      </c>
      <c r="D10" s="40">
        <v>4</v>
      </c>
      <c r="E10" s="1"/>
      <c r="F10" s="211"/>
      <c r="G10" s="207"/>
      <c r="H10" s="207"/>
      <c r="I10" s="212"/>
      <c r="J10" s="1"/>
    </row>
    <row r="11" spans="1:11" ht="15.75" thickBot="1">
      <c r="A11" s="47">
        <v>614890</v>
      </c>
      <c r="B11" s="55" t="s">
        <v>194</v>
      </c>
      <c r="C11" s="51">
        <v>614890</v>
      </c>
      <c r="D11" s="40">
        <v>5</v>
      </c>
      <c r="E11" s="6"/>
      <c r="F11" s="1"/>
      <c r="G11" s="1"/>
      <c r="H11" s="1"/>
      <c r="I11" s="6"/>
      <c r="J11" s="1"/>
    </row>
    <row r="12" spans="1:11" ht="15.75">
      <c r="A12" s="47">
        <v>614618</v>
      </c>
      <c r="B12" s="55" t="s">
        <v>195</v>
      </c>
      <c r="C12" s="51">
        <v>614618</v>
      </c>
      <c r="D12" s="40">
        <v>6</v>
      </c>
      <c r="E12" s="6"/>
      <c r="F12" s="1"/>
      <c r="G12" s="2" t="s">
        <v>932</v>
      </c>
      <c r="H12" s="25">
        <v>614682</v>
      </c>
      <c r="I12" s="6"/>
      <c r="J12" s="1"/>
    </row>
    <row r="13" spans="1:11" ht="16.5" thickBot="1">
      <c r="A13" s="47">
        <v>614889</v>
      </c>
      <c r="B13" s="55" t="s">
        <v>196</v>
      </c>
      <c r="C13" s="51">
        <v>614889</v>
      </c>
      <c r="D13" s="40">
        <v>7</v>
      </c>
      <c r="E13" s="6"/>
      <c r="F13" s="1"/>
      <c r="G13" s="3"/>
      <c r="H13" s="1"/>
      <c r="I13" s="6"/>
      <c r="J13" s="1"/>
    </row>
    <row r="14" spans="1:11" ht="15.75">
      <c r="A14" s="47">
        <v>610016</v>
      </c>
      <c r="B14" s="55" t="s">
        <v>197</v>
      </c>
      <c r="C14" s="51">
        <v>610016</v>
      </c>
      <c r="D14" s="40">
        <v>8</v>
      </c>
      <c r="E14" s="6"/>
      <c r="F14" s="1"/>
      <c r="G14" s="2" t="s">
        <v>933</v>
      </c>
      <c r="H14" s="9" t="s">
        <v>959</v>
      </c>
      <c r="I14" s="6"/>
      <c r="J14" s="1"/>
    </row>
    <row r="15" spans="1:11" ht="16.5" thickBot="1">
      <c r="A15" s="47">
        <v>610688</v>
      </c>
      <c r="B15" s="55" t="s">
        <v>198</v>
      </c>
      <c r="C15" s="51">
        <v>610688</v>
      </c>
      <c r="D15" s="40">
        <v>9</v>
      </c>
      <c r="E15" s="6"/>
      <c r="G15" s="3"/>
      <c r="H15" s="1"/>
      <c r="I15" s="6"/>
      <c r="J15" s="1"/>
    </row>
    <row r="16" spans="1:11" ht="14.45" customHeight="1">
      <c r="A16" s="47">
        <v>610020</v>
      </c>
      <c r="B16" s="55" t="s">
        <v>199</v>
      </c>
      <c r="C16" s="51">
        <v>610020</v>
      </c>
      <c r="D16" s="40">
        <v>10</v>
      </c>
      <c r="E16" s="6"/>
      <c r="G16" s="2" t="s">
        <v>917</v>
      </c>
      <c r="H16" s="13">
        <v>1</v>
      </c>
      <c r="I16" s="6"/>
      <c r="J16" s="1"/>
    </row>
    <row r="17" spans="1:10" ht="14.45" customHeight="1">
      <c r="A17" s="47">
        <v>610021</v>
      </c>
      <c r="B17" s="55" t="s">
        <v>200</v>
      </c>
      <c r="C17" s="51">
        <v>610021</v>
      </c>
      <c r="D17" s="40">
        <v>11</v>
      </c>
      <c r="E17" s="6"/>
      <c r="I17" s="6"/>
      <c r="J17" s="1"/>
    </row>
    <row r="18" spans="1:10" ht="14.45" customHeight="1">
      <c r="A18" s="47">
        <v>610026</v>
      </c>
      <c r="B18" s="55" t="s">
        <v>201</v>
      </c>
      <c r="C18" s="51">
        <v>610026</v>
      </c>
      <c r="D18" s="40">
        <v>12</v>
      </c>
      <c r="E18" s="6"/>
      <c r="I18" s="6"/>
    </row>
    <row r="19" spans="1:10">
      <c r="A19" s="47">
        <v>614582</v>
      </c>
      <c r="B19" s="55" t="s">
        <v>202</v>
      </c>
      <c r="C19" s="51">
        <v>614582</v>
      </c>
      <c r="D19" s="40">
        <v>13</v>
      </c>
      <c r="E19" s="6"/>
      <c r="F19" s="8"/>
      <c r="G19" s="7"/>
      <c r="H19" s="7"/>
      <c r="I19" s="12"/>
    </row>
    <row r="20" spans="1:10">
      <c r="A20" s="47">
        <v>614583</v>
      </c>
      <c r="B20" s="55" t="s">
        <v>203</v>
      </c>
      <c r="C20" s="51">
        <v>614583</v>
      </c>
      <c r="D20" s="40">
        <v>14</v>
      </c>
    </row>
    <row r="21" spans="1:10">
      <c r="A21" s="47">
        <v>610045</v>
      </c>
      <c r="B21" s="55" t="s">
        <v>204</v>
      </c>
      <c r="C21" s="51">
        <v>610045</v>
      </c>
      <c r="D21" s="40">
        <v>15</v>
      </c>
    </row>
    <row r="22" spans="1:10">
      <c r="A22" s="47">
        <v>610060</v>
      </c>
      <c r="B22" s="55" t="s">
        <v>205</v>
      </c>
      <c r="C22" s="51">
        <v>610060</v>
      </c>
      <c r="D22" s="40">
        <v>16</v>
      </c>
    </row>
    <row r="23" spans="1:10">
      <c r="A23" s="47">
        <v>610762</v>
      </c>
      <c r="B23" s="55" t="s">
        <v>206</v>
      </c>
      <c r="C23" s="51">
        <v>610762</v>
      </c>
      <c r="D23" s="40">
        <v>17</v>
      </c>
    </row>
    <row r="24" spans="1:10">
      <c r="A24" s="47">
        <v>610061</v>
      </c>
      <c r="B24" s="55" t="s">
        <v>207</v>
      </c>
      <c r="C24" s="51">
        <v>610061</v>
      </c>
      <c r="D24" s="40">
        <v>18</v>
      </c>
    </row>
    <row r="25" spans="1:10">
      <c r="A25" s="47">
        <v>610067</v>
      </c>
      <c r="B25" s="55" t="s">
        <v>208</v>
      </c>
      <c r="C25" s="51">
        <v>610067</v>
      </c>
      <c r="D25" s="40">
        <v>19</v>
      </c>
    </row>
    <row r="26" spans="1:10">
      <c r="A26" s="47">
        <v>610068</v>
      </c>
      <c r="B26" s="55" t="s">
        <v>209</v>
      </c>
      <c r="C26" s="51">
        <v>610068</v>
      </c>
      <c r="D26" s="40">
        <v>20</v>
      </c>
    </row>
    <row r="27" spans="1:10">
      <c r="A27" s="47">
        <v>610772</v>
      </c>
      <c r="B27" s="55" t="s">
        <v>210</v>
      </c>
      <c r="C27" s="51">
        <v>610772</v>
      </c>
      <c r="D27" s="40">
        <v>21</v>
      </c>
    </row>
    <row r="28" spans="1:10">
      <c r="A28" s="47">
        <v>610082</v>
      </c>
      <c r="B28" s="55" t="s">
        <v>211</v>
      </c>
      <c r="C28" s="51">
        <v>610082</v>
      </c>
      <c r="D28" s="40">
        <v>22</v>
      </c>
    </row>
    <row r="29" spans="1:10">
      <c r="A29" s="47">
        <v>610087</v>
      </c>
      <c r="B29" s="55" t="s">
        <v>212</v>
      </c>
      <c r="C29" s="51">
        <v>610087</v>
      </c>
      <c r="D29" s="40">
        <v>23</v>
      </c>
    </row>
    <row r="30" spans="1:10">
      <c r="A30" s="47">
        <v>610832</v>
      </c>
      <c r="B30" s="55" t="s">
        <v>213</v>
      </c>
      <c r="C30" s="51">
        <v>610832</v>
      </c>
      <c r="D30" s="40">
        <v>24</v>
      </c>
    </row>
    <row r="31" spans="1:10">
      <c r="A31" s="47">
        <v>610835</v>
      </c>
      <c r="B31" s="55" t="s">
        <v>214</v>
      </c>
      <c r="C31" s="51">
        <v>610835</v>
      </c>
      <c r="D31" s="40">
        <v>25</v>
      </c>
    </row>
    <row r="32" spans="1:10">
      <c r="A32" s="47">
        <v>614601</v>
      </c>
      <c r="B32" s="55" t="s">
        <v>215</v>
      </c>
      <c r="C32" s="51">
        <v>614601</v>
      </c>
      <c r="D32" s="40">
        <v>26</v>
      </c>
    </row>
    <row r="33" spans="1:4">
      <c r="A33" s="47">
        <v>610868</v>
      </c>
      <c r="B33" s="55" t="s">
        <v>216</v>
      </c>
      <c r="C33" s="51">
        <v>610868</v>
      </c>
      <c r="D33" s="40">
        <v>27</v>
      </c>
    </row>
    <row r="34" spans="1:4">
      <c r="A34" s="47">
        <v>614708</v>
      </c>
      <c r="B34" s="55" t="s">
        <v>217</v>
      </c>
      <c r="C34" s="51">
        <v>614708</v>
      </c>
      <c r="D34" s="40">
        <v>28</v>
      </c>
    </row>
    <row r="35" spans="1:4">
      <c r="A35" s="47">
        <v>610121</v>
      </c>
      <c r="B35" s="55" t="s">
        <v>218</v>
      </c>
      <c r="C35" s="51">
        <v>610121</v>
      </c>
      <c r="D35" s="40">
        <v>29</v>
      </c>
    </row>
    <row r="36" spans="1:4">
      <c r="A36" s="47">
        <v>610123</v>
      </c>
      <c r="B36" s="55" t="s">
        <v>219</v>
      </c>
      <c r="C36" s="51">
        <v>610123</v>
      </c>
      <c r="D36" s="40">
        <v>30</v>
      </c>
    </row>
    <row r="37" spans="1:4">
      <c r="A37" s="47">
        <v>610125</v>
      </c>
      <c r="B37" s="55" t="s">
        <v>220</v>
      </c>
      <c r="C37" s="51">
        <v>610125</v>
      </c>
      <c r="D37" s="40">
        <v>31</v>
      </c>
    </row>
    <row r="38" spans="1:4">
      <c r="A38" s="47">
        <v>610126</v>
      </c>
      <c r="B38" s="55" t="s">
        <v>221</v>
      </c>
      <c r="C38" s="51">
        <v>610126</v>
      </c>
      <c r="D38" s="40">
        <v>32</v>
      </c>
    </row>
    <row r="39" spans="1:4">
      <c r="A39" s="47">
        <v>610357</v>
      </c>
      <c r="B39" s="55" t="s">
        <v>222</v>
      </c>
      <c r="C39" s="51">
        <v>610357</v>
      </c>
      <c r="D39" s="40">
        <v>33</v>
      </c>
    </row>
    <row r="40" spans="1:4">
      <c r="A40" s="47">
        <v>610873</v>
      </c>
      <c r="B40" s="55" t="s">
        <v>223</v>
      </c>
      <c r="C40" s="51">
        <v>610873</v>
      </c>
      <c r="D40" s="40">
        <v>34</v>
      </c>
    </row>
    <row r="41" spans="1:4">
      <c r="A41" s="47">
        <v>614646</v>
      </c>
      <c r="B41" s="55" t="s">
        <v>224</v>
      </c>
      <c r="C41" s="51">
        <v>614646</v>
      </c>
      <c r="D41" s="40">
        <v>35</v>
      </c>
    </row>
    <row r="42" spans="1:4">
      <c r="A42" s="47">
        <v>614603</v>
      </c>
      <c r="B42" s="55" t="s">
        <v>225</v>
      </c>
      <c r="C42" s="51">
        <v>614603</v>
      </c>
      <c r="D42" s="40">
        <v>36</v>
      </c>
    </row>
    <row r="43" spans="1:4">
      <c r="A43" s="47">
        <v>610128</v>
      </c>
      <c r="B43" s="55" t="s">
        <v>226</v>
      </c>
      <c r="C43" s="51">
        <v>610128</v>
      </c>
      <c r="D43" s="40">
        <v>37</v>
      </c>
    </row>
    <row r="44" spans="1:4">
      <c r="A44" s="47">
        <v>610131</v>
      </c>
      <c r="B44" s="55" t="s">
        <v>227</v>
      </c>
      <c r="C44" s="51">
        <v>610131</v>
      </c>
      <c r="D44" s="40">
        <v>38</v>
      </c>
    </row>
    <row r="45" spans="1:4">
      <c r="A45" s="47">
        <v>610136</v>
      </c>
      <c r="B45" s="55" t="s">
        <v>228</v>
      </c>
      <c r="C45" s="51">
        <v>610136</v>
      </c>
      <c r="D45" s="40">
        <v>39</v>
      </c>
    </row>
    <row r="46" spans="1:4">
      <c r="A46" s="47">
        <v>610141</v>
      </c>
      <c r="B46" s="55" t="s">
        <v>229</v>
      </c>
      <c r="C46" s="51">
        <v>610141</v>
      </c>
      <c r="D46" s="40">
        <v>40</v>
      </c>
    </row>
    <row r="47" spans="1:4">
      <c r="A47" s="47">
        <v>614592</v>
      </c>
      <c r="B47" s="55" t="s">
        <v>230</v>
      </c>
      <c r="C47" s="51">
        <v>614592</v>
      </c>
      <c r="D47" s="40">
        <v>41</v>
      </c>
    </row>
    <row r="48" spans="1:4">
      <c r="A48" s="47">
        <v>610146</v>
      </c>
      <c r="B48" s="55" t="s">
        <v>231</v>
      </c>
      <c r="C48" s="51">
        <v>610146</v>
      </c>
      <c r="D48" s="40">
        <v>42</v>
      </c>
    </row>
    <row r="49" spans="1:4">
      <c r="A49" s="47">
        <v>610147</v>
      </c>
      <c r="B49" s="55" t="s">
        <v>232</v>
      </c>
      <c r="C49" s="51">
        <v>610147</v>
      </c>
      <c r="D49" s="40">
        <v>43</v>
      </c>
    </row>
    <row r="50" spans="1:4">
      <c r="A50" s="47">
        <v>610148</v>
      </c>
      <c r="B50" s="55" t="s">
        <v>233</v>
      </c>
      <c r="C50" s="51">
        <v>610148</v>
      </c>
      <c r="D50" s="40">
        <v>44</v>
      </c>
    </row>
    <row r="51" spans="1:4">
      <c r="A51" s="47">
        <v>610910</v>
      </c>
      <c r="B51" s="55" t="s">
        <v>234</v>
      </c>
      <c r="C51" s="51">
        <v>610910</v>
      </c>
      <c r="D51" s="40">
        <v>45</v>
      </c>
    </row>
    <row r="52" spans="1:4">
      <c r="A52" s="47">
        <v>610150</v>
      </c>
      <c r="B52" s="55" t="s">
        <v>235</v>
      </c>
      <c r="C52" s="51">
        <v>610150</v>
      </c>
      <c r="D52" s="40">
        <v>46</v>
      </c>
    </row>
    <row r="53" spans="1:4">
      <c r="A53" s="47">
        <v>610165</v>
      </c>
      <c r="B53" s="55" t="s">
        <v>236</v>
      </c>
      <c r="C53" s="51">
        <v>610165</v>
      </c>
      <c r="D53" s="40">
        <v>47</v>
      </c>
    </row>
    <row r="54" spans="1:4">
      <c r="A54" s="47">
        <v>614585</v>
      </c>
      <c r="B54" s="55" t="s">
        <v>237</v>
      </c>
      <c r="C54" s="51">
        <v>614585</v>
      </c>
      <c r="D54" s="40">
        <v>48</v>
      </c>
    </row>
    <row r="55" spans="1:4">
      <c r="A55" s="47">
        <v>610976</v>
      </c>
      <c r="B55" s="55" t="s">
        <v>238</v>
      </c>
      <c r="C55" s="51">
        <v>610976</v>
      </c>
      <c r="D55" s="40">
        <v>49</v>
      </c>
    </row>
    <row r="56" spans="1:4">
      <c r="A56" s="47">
        <v>610188</v>
      </c>
      <c r="B56" s="55" t="s">
        <v>239</v>
      </c>
      <c r="C56" s="51">
        <v>610188</v>
      </c>
      <c r="D56" s="40">
        <v>50</v>
      </c>
    </row>
    <row r="57" spans="1:4">
      <c r="A57" s="47">
        <v>610189</v>
      </c>
      <c r="B57" s="55" t="s">
        <v>240</v>
      </c>
      <c r="C57" s="51">
        <v>610189</v>
      </c>
      <c r="D57" s="40">
        <v>51</v>
      </c>
    </row>
    <row r="58" spans="1:4">
      <c r="A58" s="47">
        <v>610981</v>
      </c>
      <c r="B58" s="55" t="s">
        <v>241</v>
      </c>
      <c r="C58" s="51">
        <v>610981</v>
      </c>
      <c r="D58" s="40">
        <v>52</v>
      </c>
    </row>
    <row r="59" spans="1:4">
      <c r="A59" s="47">
        <v>610192</v>
      </c>
      <c r="B59" s="55" t="s">
        <v>242</v>
      </c>
      <c r="C59" s="51">
        <v>610192</v>
      </c>
      <c r="D59" s="40">
        <v>53</v>
      </c>
    </row>
    <row r="60" spans="1:4">
      <c r="A60" s="47">
        <v>610984</v>
      </c>
      <c r="B60" s="55" t="s">
        <v>243</v>
      </c>
      <c r="C60" s="51">
        <v>610984</v>
      </c>
      <c r="D60" s="40">
        <v>54</v>
      </c>
    </row>
    <row r="61" spans="1:4">
      <c r="A61" s="47">
        <v>610996</v>
      </c>
      <c r="B61" s="55" t="s">
        <v>244</v>
      </c>
      <c r="C61" s="51">
        <v>610996</v>
      </c>
      <c r="D61" s="40">
        <v>55</v>
      </c>
    </row>
    <row r="62" spans="1:4">
      <c r="A62" s="47">
        <v>610205</v>
      </c>
      <c r="B62" s="55" t="s">
        <v>245</v>
      </c>
      <c r="C62" s="51">
        <v>610205</v>
      </c>
      <c r="D62" s="40">
        <v>56</v>
      </c>
    </row>
    <row r="63" spans="1:4">
      <c r="A63" s="47">
        <v>614888</v>
      </c>
      <c r="B63" s="55" t="s">
        <v>246</v>
      </c>
      <c r="C63" s="51">
        <v>614888</v>
      </c>
      <c r="D63" s="40">
        <v>57</v>
      </c>
    </row>
    <row r="64" spans="1:4">
      <c r="A64" s="47">
        <v>614591</v>
      </c>
      <c r="B64" s="55" t="s">
        <v>247</v>
      </c>
      <c r="C64" s="51">
        <v>614591</v>
      </c>
      <c r="D64" s="40">
        <v>58</v>
      </c>
    </row>
    <row r="65" spans="1:4">
      <c r="A65" s="47">
        <v>610226</v>
      </c>
      <c r="B65" s="55" t="s">
        <v>248</v>
      </c>
      <c r="C65" s="51">
        <v>610226</v>
      </c>
      <c r="D65" s="40">
        <v>59</v>
      </c>
    </row>
    <row r="66" spans="1:4">
      <c r="A66" s="47">
        <v>611048</v>
      </c>
      <c r="B66" s="55" t="s">
        <v>249</v>
      </c>
      <c r="C66" s="51">
        <v>611048</v>
      </c>
      <c r="D66" s="40">
        <v>60</v>
      </c>
    </row>
    <row r="67" spans="1:4">
      <c r="A67" s="47">
        <v>613640</v>
      </c>
      <c r="B67" s="55" t="s">
        <v>250</v>
      </c>
      <c r="C67" s="51">
        <v>613640</v>
      </c>
      <c r="D67" s="40">
        <v>61</v>
      </c>
    </row>
    <row r="68" spans="1:4">
      <c r="A68" s="47">
        <v>610228</v>
      </c>
      <c r="B68" s="55" t="s">
        <v>251</v>
      </c>
      <c r="C68" s="51">
        <v>610228</v>
      </c>
      <c r="D68" s="40">
        <v>62</v>
      </c>
    </row>
    <row r="69" spans="1:4">
      <c r="A69" s="47">
        <v>611050</v>
      </c>
      <c r="B69" s="55" t="s">
        <v>252</v>
      </c>
      <c r="C69" s="51">
        <v>611050</v>
      </c>
      <c r="D69" s="40">
        <v>63</v>
      </c>
    </row>
    <row r="70" spans="1:4">
      <c r="A70" s="47">
        <v>611052</v>
      </c>
      <c r="B70" s="55" t="s">
        <v>253</v>
      </c>
      <c r="C70" s="51">
        <v>611052</v>
      </c>
      <c r="D70" s="40">
        <v>64</v>
      </c>
    </row>
    <row r="71" spans="1:4">
      <c r="A71" s="47">
        <v>610231</v>
      </c>
      <c r="B71" s="55" t="s">
        <v>254</v>
      </c>
      <c r="C71" s="51">
        <v>610231</v>
      </c>
      <c r="D71" s="40">
        <v>65</v>
      </c>
    </row>
    <row r="72" spans="1:4">
      <c r="A72" s="47">
        <v>611053</v>
      </c>
      <c r="B72" s="55" t="s">
        <v>255</v>
      </c>
      <c r="C72" s="51">
        <v>611053</v>
      </c>
      <c r="D72" s="40">
        <v>66</v>
      </c>
    </row>
    <row r="73" spans="1:4">
      <c r="A73" s="47">
        <v>610232</v>
      </c>
      <c r="B73" s="55" t="s">
        <v>256</v>
      </c>
      <c r="C73" s="51">
        <v>610232</v>
      </c>
      <c r="D73" s="40">
        <v>67</v>
      </c>
    </row>
    <row r="74" spans="1:4">
      <c r="A74" s="47">
        <v>611056</v>
      </c>
      <c r="B74" s="55" t="s">
        <v>257</v>
      </c>
      <c r="C74" s="51">
        <v>611056</v>
      </c>
      <c r="D74" s="40">
        <v>68</v>
      </c>
    </row>
    <row r="75" spans="1:4">
      <c r="A75" s="47">
        <v>610235</v>
      </c>
      <c r="B75" s="55" t="s">
        <v>258</v>
      </c>
      <c r="C75" s="51">
        <v>610235</v>
      </c>
      <c r="D75" s="40">
        <v>69</v>
      </c>
    </row>
    <row r="76" spans="1:4">
      <c r="A76" s="47">
        <v>610236</v>
      </c>
      <c r="B76" s="55" t="s">
        <v>259</v>
      </c>
      <c r="C76" s="51">
        <v>610236</v>
      </c>
      <c r="D76" s="40">
        <v>70</v>
      </c>
    </row>
    <row r="77" spans="1:4">
      <c r="A77" s="47">
        <v>610467</v>
      </c>
      <c r="B77" s="55" t="s">
        <v>260</v>
      </c>
      <c r="C77" s="51">
        <v>610467</v>
      </c>
      <c r="D77" s="40">
        <v>71</v>
      </c>
    </row>
    <row r="78" spans="1:4">
      <c r="A78" s="47">
        <v>611058</v>
      </c>
      <c r="B78" s="55" t="s">
        <v>261</v>
      </c>
      <c r="C78" s="51">
        <v>611058</v>
      </c>
      <c r="D78" s="40">
        <v>72</v>
      </c>
    </row>
    <row r="79" spans="1:4">
      <c r="A79" s="47">
        <v>611060</v>
      </c>
      <c r="B79" s="55" t="s">
        <v>262</v>
      </c>
      <c r="C79" s="51">
        <v>611060</v>
      </c>
      <c r="D79" s="40">
        <v>73</v>
      </c>
    </row>
    <row r="80" spans="1:4">
      <c r="A80" s="47">
        <v>610241</v>
      </c>
      <c r="B80" s="55" t="s">
        <v>263</v>
      </c>
      <c r="C80" s="51">
        <v>610241</v>
      </c>
      <c r="D80" s="40">
        <v>74</v>
      </c>
    </row>
    <row r="81" spans="1:4">
      <c r="A81" s="47">
        <v>611063</v>
      </c>
      <c r="B81" s="55" t="s">
        <v>264</v>
      </c>
      <c r="C81" s="51">
        <v>611063</v>
      </c>
      <c r="D81" s="40">
        <v>75</v>
      </c>
    </row>
    <row r="82" spans="1:4">
      <c r="A82" s="47">
        <v>613655</v>
      </c>
      <c r="B82" s="55" t="s">
        <v>265</v>
      </c>
      <c r="C82" s="51">
        <v>613655</v>
      </c>
      <c r="D82" s="40">
        <v>76</v>
      </c>
    </row>
    <row r="83" spans="1:4">
      <c r="A83" s="47">
        <v>611068</v>
      </c>
      <c r="B83" s="55" t="s">
        <v>266</v>
      </c>
      <c r="C83" s="51">
        <v>611068</v>
      </c>
      <c r="D83" s="40">
        <v>77</v>
      </c>
    </row>
    <row r="84" spans="1:4">
      <c r="A84" s="47">
        <v>613660</v>
      </c>
      <c r="B84" s="55" t="s">
        <v>267</v>
      </c>
      <c r="C84" s="51">
        <v>613660</v>
      </c>
      <c r="D84" s="40">
        <v>78</v>
      </c>
    </row>
    <row r="85" spans="1:4">
      <c r="A85" s="47">
        <v>611070</v>
      </c>
      <c r="B85" s="55" t="s">
        <v>268</v>
      </c>
      <c r="C85" s="51">
        <v>611070</v>
      </c>
      <c r="D85" s="40">
        <v>79</v>
      </c>
    </row>
    <row r="86" spans="1:4">
      <c r="A86" s="47">
        <v>611078</v>
      </c>
      <c r="B86" s="55" t="s">
        <v>269</v>
      </c>
      <c r="C86" s="51">
        <v>611078</v>
      </c>
      <c r="D86" s="40">
        <v>80</v>
      </c>
    </row>
    <row r="87" spans="1:4">
      <c r="A87" s="47">
        <v>614623</v>
      </c>
      <c r="B87" s="55" t="s">
        <v>270</v>
      </c>
      <c r="C87" s="51">
        <v>614623</v>
      </c>
      <c r="D87" s="40">
        <v>81</v>
      </c>
    </row>
    <row r="88" spans="1:4">
      <c r="A88" s="47">
        <v>611128</v>
      </c>
      <c r="B88" s="55" t="s">
        <v>271</v>
      </c>
      <c r="C88" s="51">
        <v>611128</v>
      </c>
      <c r="D88" s="40">
        <v>82</v>
      </c>
    </row>
    <row r="89" spans="1:4">
      <c r="A89" s="47">
        <v>614712</v>
      </c>
      <c r="B89" s="55" t="s">
        <v>272</v>
      </c>
      <c r="C89" s="51">
        <v>614712</v>
      </c>
      <c r="D89" s="40">
        <v>83</v>
      </c>
    </row>
    <row r="90" spans="1:4">
      <c r="A90" s="47">
        <v>614624</v>
      </c>
      <c r="B90" s="55" t="s">
        <v>273</v>
      </c>
      <c r="C90" s="51">
        <v>614624</v>
      </c>
      <c r="D90" s="40">
        <v>84</v>
      </c>
    </row>
    <row r="91" spans="1:4">
      <c r="A91" s="47">
        <v>611161</v>
      </c>
      <c r="B91" s="55" t="s">
        <v>274</v>
      </c>
      <c r="C91" s="51">
        <v>611161</v>
      </c>
      <c r="D91" s="40">
        <v>85</v>
      </c>
    </row>
    <row r="92" spans="1:4">
      <c r="A92" s="47">
        <v>611165</v>
      </c>
      <c r="B92" s="55" t="s">
        <v>275</v>
      </c>
      <c r="C92" s="51">
        <v>611165</v>
      </c>
      <c r="D92" s="40">
        <v>86</v>
      </c>
    </row>
    <row r="93" spans="1:4">
      <c r="A93" s="47">
        <v>614674</v>
      </c>
      <c r="B93" s="55" t="s">
        <v>276</v>
      </c>
      <c r="C93" s="51">
        <v>614674</v>
      </c>
      <c r="D93" s="40">
        <v>87</v>
      </c>
    </row>
    <row r="94" spans="1:4">
      <c r="A94" s="47">
        <v>614611</v>
      </c>
      <c r="B94" s="55" t="s">
        <v>277</v>
      </c>
      <c r="C94" s="51">
        <v>614611</v>
      </c>
      <c r="D94" s="40">
        <v>88</v>
      </c>
    </row>
    <row r="95" spans="1:4">
      <c r="A95" s="47">
        <v>611197</v>
      </c>
      <c r="B95" s="55" t="s">
        <v>278</v>
      </c>
      <c r="C95" s="51">
        <v>611197</v>
      </c>
      <c r="D95" s="40">
        <v>89</v>
      </c>
    </row>
    <row r="96" spans="1:4">
      <c r="A96" s="47">
        <v>614614</v>
      </c>
      <c r="B96" s="55" t="s">
        <v>279</v>
      </c>
      <c r="C96" s="51">
        <v>614614</v>
      </c>
      <c r="D96" s="40">
        <v>90</v>
      </c>
    </row>
    <row r="97" spans="1:4">
      <c r="A97" s="47">
        <v>611228</v>
      </c>
      <c r="B97" s="55" t="s">
        <v>280</v>
      </c>
      <c r="C97" s="51">
        <v>611228</v>
      </c>
      <c r="D97" s="40">
        <v>91</v>
      </c>
    </row>
    <row r="98" spans="1:4">
      <c r="A98" s="47">
        <v>614626</v>
      </c>
      <c r="B98" s="55" t="s">
        <v>281</v>
      </c>
      <c r="C98" s="51">
        <v>614626</v>
      </c>
      <c r="D98" s="40">
        <v>92</v>
      </c>
    </row>
    <row r="99" spans="1:4">
      <c r="A99" s="47">
        <v>611230</v>
      </c>
      <c r="B99" s="55" t="s">
        <v>282</v>
      </c>
      <c r="C99" s="51">
        <v>611230</v>
      </c>
      <c r="D99" s="40">
        <v>93</v>
      </c>
    </row>
    <row r="100" spans="1:4">
      <c r="A100" s="47">
        <v>611231</v>
      </c>
      <c r="B100" s="55" t="s">
        <v>283</v>
      </c>
      <c r="C100" s="51">
        <v>611231</v>
      </c>
      <c r="D100" s="40">
        <v>94</v>
      </c>
    </row>
    <row r="101" spans="1:4">
      <c r="A101" s="47">
        <v>614602</v>
      </c>
      <c r="B101" s="55" t="s">
        <v>284</v>
      </c>
      <c r="C101" s="51">
        <v>614602</v>
      </c>
      <c r="D101" s="40">
        <v>95</v>
      </c>
    </row>
    <row r="102" spans="1:4">
      <c r="A102" s="47">
        <v>611233</v>
      </c>
      <c r="B102" s="55" t="s">
        <v>285</v>
      </c>
      <c r="C102" s="51">
        <v>611233</v>
      </c>
      <c r="D102" s="40">
        <v>96</v>
      </c>
    </row>
    <row r="103" spans="1:4">
      <c r="A103" s="47">
        <v>613825</v>
      </c>
      <c r="B103" s="55" t="s">
        <v>286</v>
      </c>
      <c r="C103" s="51">
        <v>613825</v>
      </c>
      <c r="D103" s="40">
        <v>97</v>
      </c>
    </row>
    <row r="104" spans="1:4">
      <c r="A104" s="47">
        <v>614621</v>
      </c>
      <c r="B104" s="55" t="s">
        <v>287</v>
      </c>
      <c r="C104" s="51">
        <v>614621</v>
      </c>
      <c r="D104" s="40">
        <v>98</v>
      </c>
    </row>
    <row r="105" spans="1:4">
      <c r="A105" s="47">
        <v>611235</v>
      </c>
      <c r="B105" s="55" t="s">
        <v>288</v>
      </c>
      <c r="C105" s="51">
        <v>611235</v>
      </c>
      <c r="D105" s="40">
        <v>99</v>
      </c>
    </row>
    <row r="106" spans="1:4">
      <c r="A106" s="47">
        <v>611236</v>
      </c>
      <c r="B106" s="55" t="s">
        <v>289</v>
      </c>
      <c r="C106" s="51">
        <v>611236</v>
      </c>
      <c r="D106" s="40">
        <v>100</v>
      </c>
    </row>
    <row r="107" spans="1:4">
      <c r="A107" s="47">
        <v>614622</v>
      </c>
      <c r="B107" s="55" t="s">
        <v>290</v>
      </c>
      <c r="C107" s="51">
        <v>614622</v>
      </c>
      <c r="D107" s="40">
        <v>101</v>
      </c>
    </row>
    <row r="108" spans="1:4">
      <c r="A108" s="47">
        <v>611237</v>
      </c>
      <c r="B108" s="55" t="s">
        <v>291</v>
      </c>
      <c r="C108" s="51">
        <v>611237</v>
      </c>
      <c r="D108" s="40">
        <v>102</v>
      </c>
    </row>
    <row r="109" spans="1:4">
      <c r="A109" s="47">
        <v>614613</v>
      </c>
      <c r="B109" s="55" t="s">
        <v>292</v>
      </c>
      <c r="C109" s="51">
        <v>614613</v>
      </c>
      <c r="D109" s="40">
        <v>103</v>
      </c>
    </row>
    <row r="110" spans="1:4">
      <c r="A110" s="47">
        <v>611238</v>
      </c>
      <c r="B110" s="55" t="s">
        <v>293</v>
      </c>
      <c r="C110" s="51">
        <v>611238</v>
      </c>
      <c r="D110" s="40">
        <v>104</v>
      </c>
    </row>
    <row r="111" spans="1:4">
      <c r="A111" s="47">
        <v>614588</v>
      </c>
      <c r="B111" s="55" t="s">
        <v>294</v>
      </c>
      <c r="C111" s="51">
        <v>614588</v>
      </c>
      <c r="D111" s="40">
        <v>105</v>
      </c>
    </row>
    <row r="112" spans="1:4">
      <c r="A112" s="47">
        <v>611241</v>
      </c>
      <c r="B112" s="55" t="s">
        <v>295</v>
      </c>
      <c r="C112" s="51">
        <v>611241</v>
      </c>
      <c r="D112" s="40">
        <v>106</v>
      </c>
    </row>
    <row r="113" spans="1:4">
      <c r="A113" s="47">
        <v>614688</v>
      </c>
      <c r="B113" s="55" t="s">
        <v>296</v>
      </c>
      <c r="C113" s="51">
        <v>614688</v>
      </c>
      <c r="D113" s="40">
        <v>107</v>
      </c>
    </row>
    <row r="114" spans="1:4">
      <c r="A114" s="47">
        <v>614576</v>
      </c>
      <c r="B114" s="55" t="s">
        <v>297</v>
      </c>
      <c r="C114" s="51">
        <v>614576</v>
      </c>
      <c r="D114" s="40">
        <v>108</v>
      </c>
    </row>
    <row r="115" spans="1:4">
      <c r="A115" s="47">
        <v>614579</v>
      </c>
      <c r="B115" s="55" t="s">
        <v>298</v>
      </c>
      <c r="C115" s="51">
        <v>614579</v>
      </c>
      <c r="D115" s="40">
        <v>109</v>
      </c>
    </row>
    <row r="116" spans="1:4">
      <c r="A116" s="47">
        <v>610577</v>
      </c>
      <c r="B116" s="55" t="s">
        <v>299</v>
      </c>
      <c r="C116" s="51">
        <v>610577</v>
      </c>
      <c r="D116" s="40">
        <v>110</v>
      </c>
    </row>
    <row r="117" spans="1:4">
      <c r="A117" s="47">
        <v>611243</v>
      </c>
      <c r="B117" s="55" t="s">
        <v>300</v>
      </c>
      <c r="C117" s="51">
        <v>611243</v>
      </c>
      <c r="D117" s="40">
        <v>111</v>
      </c>
    </row>
    <row r="118" spans="1:4">
      <c r="A118" s="47">
        <v>613835</v>
      </c>
      <c r="B118" s="55" t="s">
        <v>301</v>
      </c>
      <c r="C118" s="51">
        <v>613835</v>
      </c>
      <c r="D118" s="40">
        <v>112</v>
      </c>
    </row>
    <row r="119" spans="1:4">
      <c r="A119" s="47">
        <v>611246</v>
      </c>
      <c r="B119" s="55" t="s">
        <v>302</v>
      </c>
      <c r="C119" s="51">
        <v>611246</v>
      </c>
      <c r="D119" s="40">
        <v>113</v>
      </c>
    </row>
    <row r="120" spans="1:4">
      <c r="A120" s="47">
        <v>614609</v>
      </c>
      <c r="B120" s="55" t="s">
        <v>303</v>
      </c>
      <c r="C120" s="51">
        <v>614609</v>
      </c>
      <c r="D120" s="40">
        <v>114</v>
      </c>
    </row>
    <row r="121" spans="1:4">
      <c r="A121" s="47">
        <v>611248</v>
      </c>
      <c r="B121" s="55" t="s">
        <v>304</v>
      </c>
      <c r="C121" s="51">
        <v>611248</v>
      </c>
      <c r="D121" s="40">
        <v>115</v>
      </c>
    </row>
    <row r="122" spans="1:4">
      <c r="A122" s="47">
        <v>613840</v>
      </c>
      <c r="B122" s="55" t="s">
        <v>305</v>
      </c>
      <c r="C122" s="51">
        <v>613840</v>
      </c>
      <c r="D122" s="40">
        <v>116</v>
      </c>
    </row>
    <row r="123" spans="1:4">
      <c r="A123" s="47">
        <v>611253</v>
      </c>
      <c r="B123" s="55" t="s">
        <v>306</v>
      </c>
      <c r="C123" s="51">
        <v>611253</v>
      </c>
      <c r="D123" s="40">
        <v>117</v>
      </c>
    </row>
    <row r="124" spans="1:4">
      <c r="A124" s="47">
        <v>611258</v>
      </c>
      <c r="B124" s="55" t="s">
        <v>307</v>
      </c>
      <c r="C124" s="51">
        <v>611258</v>
      </c>
      <c r="D124" s="40">
        <v>118</v>
      </c>
    </row>
    <row r="125" spans="1:4">
      <c r="A125" s="47">
        <v>614595</v>
      </c>
      <c r="B125" s="55" t="s">
        <v>308</v>
      </c>
      <c r="C125" s="51">
        <v>614595</v>
      </c>
      <c r="D125" s="40">
        <v>119</v>
      </c>
    </row>
    <row r="126" spans="1:4">
      <c r="A126" s="47">
        <v>611269</v>
      </c>
      <c r="B126" s="55" t="s">
        <v>309</v>
      </c>
      <c r="C126" s="51">
        <v>611269</v>
      </c>
      <c r="D126" s="40">
        <v>120</v>
      </c>
    </row>
    <row r="127" spans="1:4">
      <c r="A127" s="47">
        <v>611280</v>
      </c>
      <c r="B127" s="55" t="s">
        <v>310</v>
      </c>
      <c r="C127" s="51">
        <v>611280</v>
      </c>
      <c r="D127" s="40">
        <v>121</v>
      </c>
    </row>
    <row r="128" spans="1:4">
      <c r="A128" s="47">
        <v>611284</v>
      </c>
      <c r="B128" s="55" t="s">
        <v>311</v>
      </c>
      <c r="C128" s="51">
        <v>611284</v>
      </c>
      <c r="D128" s="40">
        <v>122</v>
      </c>
    </row>
    <row r="129" spans="1:4">
      <c r="A129" s="47">
        <v>611305</v>
      </c>
      <c r="B129" s="55" t="s">
        <v>312</v>
      </c>
      <c r="C129" s="51">
        <v>611305</v>
      </c>
      <c r="D129" s="40">
        <v>123</v>
      </c>
    </row>
    <row r="130" spans="1:4">
      <c r="A130" s="47">
        <v>611310</v>
      </c>
      <c r="B130" s="55" t="s">
        <v>313</v>
      </c>
      <c r="C130" s="51">
        <v>611310</v>
      </c>
      <c r="D130" s="40">
        <v>124</v>
      </c>
    </row>
    <row r="131" spans="1:4">
      <c r="A131" s="47">
        <v>614584</v>
      </c>
      <c r="B131" s="55" t="s">
        <v>314</v>
      </c>
      <c r="C131" s="51">
        <v>614584</v>
      </c>
      <c r="D131" s="40">
        <v>125</v>
      </c>
    </row>
    <row r="132" spans="1:4">
      <c r="A132" s="47">
        <v>611315</v>
      </c>
      <c r="B132" s="55" t="s">
        <v>315</v>
      </c>
      <c r="C132" s="51">
        <v>611315</v>
      </c>
      <c r="D132" s="40">
        <v>126</v>
      </c>
    </row>
    <row r="133" spans="1:4">
      <c r="A133" s="47">
        <v>611341</v>
      </c>
      <c r="B133" s="55" t="s">
        <v>316</v>
      </c>
      <c r="C133" s="51">
        <v>611341</v>
      </c>
      <c r="D133" s="40">
        <v>127</v>
      </c>
    </row>
    <row r="134" spans="1:4">
      <c r="A134" s="47">
        <v>614597</v>
      </c>
      <c r="B134" s="55" t="s">
        <v>317</v>
      </c>
      <c r="C134" s="51">
        <v>614597</v>
      </c>
      <c r="D134" s="40">
        <v>128</v>
      </c>
    </row>
    <row r="135" spans="1:4">
      <c r="A135" s="47">
        <v>611377</v>
      </c>
      <c r="B135" s="55" t="s">
        <v>318</v>
      </c>
      <c r="C135" s="51">
        <v>611377</v>
      </c>
      <c r="D135" s="40">
        <v>129</v>
      </c>
    </row>
    <row r="136" spans="1:4">
      <c r="A136" s="47">
        <v>611378</v>
      </c>
      <c r="B136" s="55" t="s">
        <v>319</v>
      </c>
      <c r="C136" s="51">
        <v>611378</v>
      </c>
      <c r="D136" s="40">
        <v>130</v>
      </c>
    </row>
    <row r="137" spans="1:4">
      <c r="A137" s="47">
        <v>611391</v>
      </c>
      <c r="B137" s="55" t="s">
        <v>320</v>
      </c>
      <c r="C137" s="51">
        <v>611391</v>
      </c>
      <c r="D137" s="40">
        <v>131</v>
      </c>
    </row>
    <row r="138" spans="1:4">
      <c r="A138" s="47">
        <v>614577</v>
      </c>
      <c r="B138" s="55" t="s">
        <v>321</v>
      </c>
      <c r="C138" s="51">
        <v>614577</v>
      </c>
      <c r="D138" s="40">
        <v>132</v>
      </c>
    </row>
    <row r="139" spans="1:4">
      <c r="A139" s="47">
        <v>614606</v>
      </c>
      <c r="B139" s="55" t="s">
        <v>322</v>
      </c>
      <c r="C139" s="51">
        <v>614606</v>
      </c>
      <c r="D139" s="40">
        <v>133</v>
      </c>
    </row>
    <row r="140" spans="1:4">
      <c r="A140" s="47">
        <v>611408</v>
      </c>
      <c r="B140" s="55" t="s">
        <v>323</v>
      </c>
      <c r="C140" s="51">
        <v>611408</v>
      </c>
      <c r="D140" s="40">
        <v>134</v>
      </c>
    </row>
    <row r="141" spans="1:4">
      <c r="A141" s="47">
        <v>610669</v>
      </c>
      <c r="B141" s="55" t="s">
        <v>324</v>
      </c>
      <c r="C141" s="51">
        <v>610669</v>
      </c>
      <c r="D141" s="40">
        <v>135</v>
      </c>
    </row>
    <row r="142" spans="1:4">
      <c r="A142" s="47">
        <v>611410</v>
      </c>
      <c r="B142" s="55" t="s">
        <v>325</v>
      </c>
      <c r="C142" s="51">
        <v>611410</v>
      </c>
      <c r="D142" s="40">
        <v>136</v>
      </c>
    </row>
    <row r="143" spans="1:4">
      <c r="A143" s="47">
        <v>614002</v>
      </c>
      <c r="B143" s="55" t="s">
        <v>326</v>
      </c>
      <c r="C143" s="51">
        <v>614002</v>
      </c>
      <c r="D143" s="40">
        <v>137</v>
      </c>
    </row>
    <row r="144" spans="1:4">
      <c r="A144" s="47">
        <v>614604</v>
      </c>
      <c r="B144" s="55" t="s">
        <v>327</v>
      </c>
      <c r="C144" s="51">
        <v>614604</v>
      </c>
      <c r="D144" s="40">
        <v>138</v>
      </c>
    </row>
    <row r="145" spans="1:4">
      <c r="A145" s="47">
        <v>610672</v>
      </c>
      <c r="B145" s="55" t="s">
        <v>328</v>
      </c>
      <c r="C145" s="51">
        <v>610672</v>
      </c>
      <c r="D145" s="40">
        <v>139</v>
      </c>
    </row>
    <row r="146" spans="1:4">
      <c r="A146" s="47">
        <v>611413</v>
      </c>
      <c r="B146" s="55" t="s">
        <v>329</v>
      </c>
      <c r="C146" s="51">
        <v>611413</v>
      </c>
      <c r="D146" s="40">
        <v>140</v>
      </c>
    </row>
    <row r="147" spans="1:4">
      <c r="A147" s="47">
        <v>614893</v>
      </c>
      <c r="B147" s="55" t="s">
        <v>827</v>
      </c>
      <c r="C147" s="51">
        <v>614893</v>
      </c>
      <c r="D147" s="40">
        <v>141</v>
      </c>
    </row>
    <row r="148" spans="1:4">
      <c r="A148" s="47">
        <v>611415</v>
      </c>
      <c r="B148" s="55" t="s">
        <v>330</v>
      </c>
      <c r="C148" s="51">
        <v>611415</v>
      </c>
      <c r="D148" s="40">
        <v>142</v>
      </c>
    </row>
    <row r="149" spans="1:4">
      <c r="A149" s="47">
        <v>611416</v>
      </c>
      <c r="B149" s="55" t="s">
        <v>331</v>
      </c>
      <c r="C149" s="51">
        <v>611416</v>
      </c>
      <c r="D149" s="40">
        <v>143</v>
      </c>
    </row>
    <row r="150" spans="1:4">
      <c r="A150" s="47">
        <v>614008</v>
      </c>
      <c r="B150" s="55" t="s">
        <v>332</v>
      </c>
      <c r="C150" s="51">
        <v>614008</v>
      </c>
      <c r="D150" s="40">
        <v>144</v>
      </c>
    </row>
    <row r="151" spans="1:4">
      <c r="A151" s="47">
        <v>614600</v>
      </c>
      <c r="B151" s="55" t="s">
        <v>333</v>
      </c>
      <c r="C151" s="51">
        <v>614600</v>
      </c>
      <c r="D151" s="40">
        <v>145</v>
      </c>
    </row>
    <row r="152" spans="1:4">
      <c r="A152" s="47">
        <v>610677</v>
      </c>
      <c r="B152" s="55" t="s">
        <v>334</v>
      </c>
      <c r="C152" s="51">
        <v>610677</v>
      </c>
      <c r="D152" s="40">
        <v>146</v>
      </c>
    </row>
    <row r="153" spans="1:4">
      <c r="A153" s="47">
        <v>611418</v>
      </c>
      <c r="B153" s="55" t="s">
        <v>335</v>
      </c>
      <c r="C153" s="51">
        <v>611418</v>
      </c>
      <c r="D153" s="40">
        <v>147</v>
      </c>
    </row>
    <row r="154" spans="1:4">
      <c r="A154" s="47">
        <v>614010</v>
      </c>
      <c r="B154" s="55" t="s">
        <v>336</v>
      </c>
      <c r="C154" s="51">
        <v>614010</v>
      </c>
      <c r="D154" s="40">
        <v>148</v>
      </c>
    </row>
    <row r="155" spans="1:4">
      <c r="A155" s="47">
        <v>614710</v>
      </c>
      <c r="B155" s="55" t="s">
        <v>337</v>
      </c>
      <c r="C155" s="51">
        <v>614710</v>
      </c>
      <c r="D155" s="40">
        <v>149</v>
      </c>
    </row>
    <row r="156" spans="1:4">
      <c r="A156" s="47">
        <v>611420</v>
      </c>
      <c r="B156" s="55" t="s">
        <v>338</v>
      </c>
      <c r="C156" s="51">
        <v>611420</v>
      </c>
      <c r="D156" s="40">
        <v>150</v>
      </c>
    </row>
    <row r="157" spans="1:4">
      <c r="A157" s="47">
        <v>611422</v>
      </c>
      <c r="B157" s="55" t="s">
        <v>339</v>
      </c>
      <c r="C157" s="51">
        <v>611422</v>
      </c>
      <c r="D157" s="40">
        <v>151</v>
      </c>
    </row>
    <row r="158" spans="1:4">
      <c r="A158" s="47">
        <v>610682</v>
      </c>
      <c r="B158" s="55" t="s">
        <v>340</v>
      </c>
      <c r="C158" s="51">
        <v>610682</v>
      </c>
      <c r="D158" s="40">
        <v>152</v>
      </c>
    </row>
    <row r="159" spans="1:4">
      <c r="A159" s="47">
        <v>611423</v>
      </c>
      <c r="B159" s="55" t="s">
        <v>341</v>
      </c>
      <c r="C159" s="51">
        <v>611423</v>
      </c>
      <c r="D159" s="40">
        <v>153</v>
      </c>
    </row>
    <row r="160" spans="1:4">
      <c r="A160" s="47">
        <v>614015</v>
      </c>
      <c r="B160" s="55" t="s">
        <v>342</v>
      </c>
      <c r="C160" s="51">
        <v>614015</v>
      </c>
      <c r="D160" s="40">
        <v>154</v>
      </c>
    </row>
    <row r="161" spans="1:4">
      <c r="A161" s="47">
        <v>614590</v>
      </c>
      <c r="B161" s="55" t="s">
        <v>343</v>
      </c>
      <c r="C161" s="51">
        <v>614590</v>
      </c>
      <c r="D161" s="40">
        <v>155</v>
      </c>
    </row>
    <row r="162" spans="1:4">
      <c r="A162" s="47">
        <v>611428</v>
      </c>
      <c r="B162" s="55" t="s">
        <v>344</v>
      </c>
      <c r="C162" s="51">
        <v>611428</v>
      </c>
      <c r="D162" s="40">
        <v>156</v>
      </c>
    </row>
    <row r="163" spans="1:4">
      <c r="A163" s="47">
        <v>612724</v>
      </c>
      <c r="B163" s="55" t="s">
        <v>345</v>
      </c>
      <c r="C163" s="51">
        <v>612724</v>
      </c>
      <c r="D163" s="40">
        <v>157</v>
      </c>
    </row>
    <row r="164" spans="1:4">
      <c r="A164" s="47">
        <v>614598</v>
      </c>
      <c r="B164" s="55" t="s">
        <v>346</v>
      </c>
      <c r="C164" s="51">
        <v>614598</v>
      </c>
      <c r="D164" s="40">
        <v>158</v>
      </c>
    </row>
    <row r="165" spans="1:4">
      <c r="A165" s="47">
        <v>614610</v>
      </c>
      <c r="B165" s="55" t="s">
        <v>347</v>
      </c>
      <c r="C165" s="51">
        <v>614610</v>
      </c>
      <c r="D165" s="40">
        <v>159</v>
      </c>
    </row>
    <row r="166" spans="1:4">
      <c r="A166" s="47">
        <v>611433</v>
      </c>
      <c r="B166" s="55" t="s">
        <v>348</v>
      </c>
      <c r="C166" s="51">
        <v>611433</v>
      </c>
      <c r="D166" s="40">
        <v>160</v>
      </c>
    </row>
    <row r="167" spans="1:4">
      <c r="A167" s="47">
        <v>614025</v>
      </c>
      <c r="B167" s="55" t="s">
        <v>349</v>
      </c>
      <c r="C167" s="51">
        <v>614025</v>
      </c>
      <c r="D167" s="40">
        <v>161</v>
      </c>
    </row>
    <row r="168" spans="1:4">
      <c r="A168" s="47">
        <v>611443</v>
      </c>
      <c r="B168" s="55" t="s">
        <v>350</v>
      </c>
      <c r="C168" s="51">
        <v>611443</v>
      </c>
      <c r="D168" s="40">
        <v>162</v>
      </c>
    </row>
    <row r="169" spans="1:4">
      <c r="A169" s="47">
        <v>614594</v>
      </c>
      <c r="B169" s="55" t="s">
        <v>351</v>
      </c>
      <c r="C169" s="51">
        <v>614594</v>
      </c>
      <c r="D169" s="40">
        <v>163</v>
      </c>
    </row>
    <row r="170" spans="1:4">
      <c r="A170" s="47">
        <v>611486</v>
      </c>
      <c r="B170" s="55" t="s">
        <v>352</v>
      </c>
      <c r="C170" s="51">
        <v>611486</v>
      </c>
      <c r="D170" s="40">
        <v>164</v>
      </c>
    </row>
    <row r="171" spans="1:4">
      <c r="A171" s="47">
        <v>611495</v>
      </c>
      <c r="B171" s="55" t="s">
        <v>353</v>
      </c>
      <c r="C171" s="51">
        <v>611495</v>
      </c>
      <c r="D171" s="40">
        <v>165</v>
      </c>
    </row>
    <row r="172" spans="1:4">
      <c r="A172" s="47">
        <v>611502</v>
      </c>
      <c r="B172" s="55" t="s">
        <v>354</v>
      </c>
      <c r="C172" s="51">
        <v>611502</v>
      </c>
      <c r="D172" s="40">
        <v>166</v>
      </c>
    </row>
    <row r="173" spans="1:4">
      <c r="A173" s="47">
        <v>611526</v>
      </c>
      <c r="B173" s="55" t="s">
        <v>355</v>
      </c>
      <c r="C173" s="51">
        <v>611526</v>
      </c>
      <c r="D173" s="40">
        <v>167</v>
      </c>
    </row>
    <row r="174" spans="1:4">
      <c r="A174" s="47">
        <v>611554</v>
      </c>
      <c r="B174" s="55" t="s">
        <v>356</v>
      </c>
      <c r="C174" s="51">
        <v>611554</v>
      </c>
      <c r="D174" s="40">
        <v>168</v>
      </c>
    </row>
    <row r="175" spans="1:4">
      <c r="A175" s="47">
        <v>611587</v>
      </c>
      <c r="B175" s="55" t="s">
        <v>357</v>
      </c>
      <c r="C175" s="51">
        <v>611587</v>
      </c>
      <c r="D175" s="40">
        <v>169</v>
      </c>
    </row>
    <row r="176" spans="1:4">
      <c r="A176" s="47">
        <v>611588</v>
      </c>
      <c r="B176" s="55" t="s">
        <v>358</v>
      </c>
      <c r="C176" s="51">
        <v>611588</v>
      </c>
      <c r="D176" s="40">
        <v>170</v>
      </c>
    </row>
    <row r="177" spans="1:4">
      <c r="A177" s="47">
        <v>611590</v>
      </c>
      <c r="B177" s="55" t="s">
        <v>359</v>
      </c>
      <c r="C177" s="51">
        <v>611590</v>
      </c>
      <c r="D177" s="40">
        <v>171</v>
      </c>
    </row>
    <row r="178" spans="1:4">
      <c r="A178" s="47">
        <v>611593</v>
      </c>
      <c r="B178" s="55" t="s">
        <v>360</v>
      </c>
      <c r="C178" s="51">
        <v>611593</v>
      </c>
      <c r="D178" s="40">
        <v>172</v>
      </c>
    </row>
    <row r="179" spans="1:4">
      <c r="A179" s="47">
        <v>614185</v>
      </c>
      <c r="B179" s="55" t="s">
        <v>361</v>
      </c>
      <c r="C179" s="51">
        <v>614185</v>
      </c>
      <c r="D179" s="40">
        <v>173</v>
      </c>
    </row>
    <row r="180" spans="1:4">
      <c r="A180" s="47">
        <v>611594</v>
      </c>
      <c r="B180" s="55" t="s">
        <v>362</v>
      </c>
      <c r="C180" s="51">
        <v>611594</v>
      </c>
      <c r="D180" s="40">
        <v>174</v>
      </c>
    </row>
    <row r="181" spans="1:4">
      <c r="A181" s="47">
        <v>611596</v>
      </c>
      <c r="B181" s="55" t="s">
        <v>363</v>
      </c>
      <c r="C181" s="51">
        <v>611596</v>
      </c>
      <c r="D181" s="40">
        <v>175</v>
      </c>
    </row>
    <row r="182" spans="1:4">
      <c r="A182" s="47">
        <v>614616</v>
      </c>
      <c r="B182" s="55" t="s">
        <v>364</v>
      </c>
      <c r="C182" s="51">
        <v>614616</v>
      </c>
      <c r="D182" s="40">
        <v>176</v>
      </c>
    </row>
    <row r="183" spans="1:4">
      <c r="A183" s="47">
        <v>611598</v>
      </c>
      <c r="B183" s="55" t="s">
        <v>365</v>
      </c>
      <c r="C183" s="51">
        <v>611598</v>
      </c>
      <c r="D183" s="40">
        <v>177</v>
      </c>
    </row>
    <row r="184" spans="1:4">
      <c r="A184" s="47">
        <v>614631</v>
      </c>
      <c r="B184" s="55" t="s">
        <v>366</v>
      </c>
      <c r="C184" s="51">
        <v>614631</v>
      </c>
      <c r="D184" s="40">
        <v>178</v>
      </c>
    </row>
    <row r="185" spans="1:4">
      <c r="A185" s="47">
        <v>611603</v>
      </c>
      <c r="B185" s="55" t="s">
        <v>367</v>
      </c>
      <c r="C185" s="51">
        <v>611603</v>
      </c>
      <c r="D185" s="40">
        <v>179</v>
      </c>
    </row>
    <row r="186" spans="1:4">
      <c r="A186" s="47">
        <v>614195</v>
      </c>
      <c r="B186" s="55" t="s">
        <v>368</v>
      </c>
      <c r="C186" s="51">
        <v>614195</v>
      </c>
      <c r="D186" s="40">
        <v>180</v>
      </c>
    </row>
    <row r="187" spans="1:4">
      <c r="A187" s="47">
        <v>611608</v>
      </c>
      <c r="B187" s="55" t="s">
        <v>369</v>
      </c>
      <c r="C187" s="51">
        <v>611608</v>
      </c>
      <c r="D187" s="40">
        <v>181</v>
      </c>
    </row>
    <row r="188" spans="1:4">
      <c r="A188" s="47">
        <v>614200</v>
      </c>
      <c r="B188" s="55" t="s">
        <v>370</v>
      </c>
      <c r="C188" s="51">
        <v>614200</v>
      </c>
      <c r="D188" s="40">
        <v>182</v>
      </c>
    </row>
    <row r="189" spans="1:4">
      <c r="A189" s="47">
        <v>611610</v>
      </c>
      <c r="B189" s="55" t="s">
        <v>371</v>
      </c>
      <c r="C189" s="51">
        <v>611610</v>
      </c>
      <c r="D189" s="40">
        <v>183</v>
      </c>
    </row>
    <row r="190" spans="1:4">
      <c r="A190" s="47">
        <v>611613</v>
      </c>
      <c r="B190" s="55" t="s">
        <v>372</v>
      </c>
      <c r="C190" s="51">
        <v>611613</v>
      </c>
      <c r="D190" s="40">
        <v>184</v>
      </c>
    </row>
    <row r="191" spans="1:4">
      <c r="A191" s="47">
        <v>614205</v>
      </c>
      <c r="B191" s="55" t="s">
        <v>373</v>
      </c>
      <c r="C191" s="51">
        <v>614205</v>
      </c>
      <c r="D191" s="40">
        <v>185</v>
      </c>
    </row>
    <row r="192" spans="1:4">
      <c r="A192" s="47">
        <v>614593</v>
      </c>
      <c r="B192" s="55" t="s">
        <v>374</v>
      </c>
      <c r="C192" s="51">
        <v>614593</v>
      </c>
      <c r="D192" s="40">
        <v>186</v>
      </c>
    </row>
    <row r="193" spans="1:4">
      <c r="A193" s="47">
        <v>614607</v>
      </c>
      <c r="B193" s="55" t="s">
        <v>375</v>
      </c>
      <c r="C193" s="51">
        <v>614607</v>
      </c>
      <c r="D193" s="40">
        <v>187</v>
      </c>
    </row>
    <row r="194" spans="1:4">
      <c r="A194" s="47">
        <v>611618</v>
      </c>
      <c r="B194" s="55" t="s">
        <v>376</v>
      </c>
      <c r="C194" s="51">
        <v>611618</v>
      </c>
      <c r="D194" s="40">
        <v>188</v>
      </c>
    </row>
    <row r="195" spans="1:4">
      <c r="A195" s="47">
        <v>611631</v>
      </c>
      <c r="B195" s="55" t="s">
        <v>377</v>
      </c>
      <c r="C195" s="51">
        <v>611631</v>
      </c>
      <c r="D195" s="40">
        <v>189</v>
      </c>
    </row>
    <row r="196" spans="1:4">
      <c r="A196" s="47">
        <v>611768</v>
      </c>
      <c r="B196" s="55" t="s">
        <v>378</v>
      </c>
      <c r="C196" s="51">
        <v>611768</v>
      </c>
      <c r="D196" s="40">
        <v>190</v>
      </c>
    </row>
    <row r="197" spans="1:4">
      <c r="A197" s="47">
        <v>614615</v>
      </c>
      <c r="B197" s="55" t="s">
        <v>379</v>
      </c>
      <c r="C197" s="51">
        <v>614615</v>
      </c>
      <c r="D197" s="40">
        <v>191</v>
      </c>
    </row>
    <row r="198" spans="1:4">
      <c r="A198" s="47">
        <v>611773</v>
      </c>
      <c r="B198" s="55" t="s">
        <v>380</v>
      </c>
      <c r="C198" s="51">
        <v>611773</v>
      </c>
      <c r="D198" s="40">
        <v>192</v>
      </c>
    </row>
    <row r="199" spans="1:4">
      <c r="A199" s="47">
        <v>614365</v>
      </c>
      <c r="B199" s="55" t="s">
        <v>381</v>
      </c>
      <c r="C199" s="51">
        <v>614365</v>
      </c>
      <c r="D199" s="40">
        <v>193</v>
      </c>
    </row>
    <row r="200" spans="1:4">
      <c r="A200" s="47">
        <v>611778</v>
      </c>
      <c r="B200" s="55" t="s">
        <v>382</v>
      </c>
      <c r="C200" s="51">
        <v>611778</v>
      </c>
      <c r="D200" s="40">
        <v>194</v>
      </c>
    </row>
    <row r="201" spans="1:4">
      <c r="A201" s="47">
        <v>611780</v>
      </c>
      <c r="B201" s="55" t="s">
        <v>383</v>
      </c>
      <c r="C201" s="51">
        <v>611780</v>
      </c>
      <c r="D201" s="40">
        <v>195</v>
      </c>
    </row>
    <row r="202" spans="1:4">
      <c r="A202" s="47">
        <v>611783</v>
      </c>
      <c r="B202" s="55" t="s">
        <v>384</v>
      </c>
      <c r="C202" s="51">
        <v>611783</v>
      </c>
      <c r="D202" s="40">
        <v>196</v>
      </c>
    </row>
    <row r="203" spans="1:4">
      <c r="A203" s="47">
        <v>614375</v>
      </c>
      <c r="B203" s="55" t="s">
        <v>385</v>
      </c>
      <c r="C203" s="51">
        <v>614375</v>
      </c>
      <c r="D203" s="40">
        <v>197</v>
      </c>
    </row>
    <row r="204" spans="1:4">
      <c r="A204" s="47">
        <v>611788</v>
      </c>
      <c r="B204" s="55" t="s">
        <v>386</v>
      </c>
      <c r="C204" s="51">
        <v>611788</v>
      </c>
      <c r="D204" s="40">
        <v>198</v>
      </c>
    </row>
    <row r="205" spans="1:4">
      <c r="A205" s="47">
        <v>614380</v>
      </c>
      <c r="B205" s="55" t="s">
        <v>387</v>
      </c>
      <c r="C205" s="51">
        <v>614380</v>
      </c>
      <c r="D205" s="40">
        <v>199</v>
      </c>
    </row>
    <row r="206" spans="1:4">
      <c r="A206" s="47">
        <v>611789</v>
      </c>
      <c r="B206" s="55" t="s">
        <v>388</v>
      </c>
      <c r="C206" s="51">
        <v>611789</v>
      </c>
      <c r="D206" s="40">
        <v>200</v>
      </c>
    </row>
    <row r="207" spans="1:4">
      <c r="A207" s="47">
        <v>614385</v>
      </c>
      <c r="B207" s="55" t="s">
        <v>389</v>
      </c>
      <c r="C207" s="51">
        <v>614385</v>
      </c>
      <c r="D207" s="40">
        <v>201</v>
      </c>
    </row>
    <row r="208" spans="1:4">
      <c r="A208" s="47">
        <v>614386</v>
      </c>
      <c r="B208" s="55" t="s">
        <v>390</v>
      </c>
      <c r="C208" s="51">
        <v>614386</v>
      </c>
      <c r="D208" s="40">
        <v>202</v>
      </c>
    </row>
    <row r="209" spans="1:4">
      <c r="A209" s="47">
        <v>614388</v>
      </c>
      <c r="B209" s="55" t="s">
        <v>391</v>
      </c>
      <c r="C209" s="51">
        <v>614388</v>
      </c>
      <c r="D209" s="40">
        <v>203</v>
      </c>
    </row>
    <row r="210" spans="1:4">
      <c r="A210" s="47">
        <v>611798</v>
      </c>
      <c r="B210" s="55" t="s">
        <v>392</v>
      </c>
      <c r="C210" s="51">
        <v>611798</v>
      </c>
      <c r="D210" s="40">
        <v>204</v>
      </c>
    </row>
    <row r="211" spans="1:4">
      <c r="A211" s="47">
        <v>614390</v>
      </c>
      <c r="B211" s="55" t="s">
        <v>393</v>
      </c>
      <c r="C211" s="51">
        <v>614390</v>
      </c>
      <c r="D211" s="40">
        <v>205</v>
      </c>
    </row>
    <row r="212" spans="1:4">
      <c r="A212" s="47">
        <v>614581</v>
      </c>
      <c r="B212" s="55" t="s">
        <v>394</v>
      </c>
      <c r="C212" s="51">
        <v>614581</v>
      </c>
      <c r="D212" s="40">
        <v>206</v>
      </c>
    </row>
    <row r="213" spans="1:4">
      <c r="A213" s="47">
        <v>614620</v>
      </c>
      <c r="B213" s="55" t="s">
        <v>395</v>
      </c>
      <c r="C213" s="51">
        <v>614620</v>
      </c>
      <c r="D213" s="40">
        <v>207</v>
      </c>
    </row>
    <row r="214" spans="1:4">
      <c r="A214" s="47">
        <v>614608</v>
      </c>
      <c r="B214" s="55" t="s">
        <v>396</v>
      </c>
      <c r="C214" s="51">
        <v>614608</v>
      </c>
      <c r="D214" s="40">
        <v>208</v>
      </c>
    </row>
    <row r="215" spans="1:4">
      <c r="A215" s="47">
        <v>611889</v>
      </c>
      <c r="B215" s="55" t="s">
        <v>397</v>
      </c>
      <c r="C215" s="51">
        <v>611889</v>
      </c>
      <c r="D215" s="40">
        <v>209</v>
      </c>
    </row>
    <row r="216" spans="1:4">
      <c r="A216" s="47">
        <v>611958</v>
      </c>
      <c r="B216" s="55" t="s">
        <v>398</v>
      </c>
      <c r="C216" s="51">
        <v>611958</v>
      </c>
      <c r="D216" s="40">
        <v>210</v>
      </c>
    </row>
    <row r="217" spans="1:4">
      <c r="A217" s="47">
        <v>614550</v>
      </c>
      <c r="B217" s="55" t="s">
        <v>399</v>
      </c>
      <c r="C217" s="51">
        <v>614550</v>
      </c>
      <c r="D217" s="40">
        <v>211</v>
      </c>
    </row>
    <row r="218" spans="1:4">
      <c r="A218" s="47">
        <v>614552</v>
      </c>
      <c r="B218" s="55" t="s">
        <v>400</v>
      </c>
      <c r="C218" s="51">
        <v>614552</v>
      </c>
      <c r="D218" s="40">
        <v>212</v>
      </c>
    </row>
    <row r="219" spans="1:4">
      <c r="A219" s="47">
        <v>614605</v>
      </c>
      <c r="B219" s="55" t="s">
        <v>401</v>
      </c>
      <c r="C219" s="51">
        <v>614605</v>
      </c>
      <c r="D219" s="40">
        <v>213</v>
      </c>
    </row>
    <row r="220" spans="1:4">
      <c r="A220" s="47">
        <v>611968</v>
      </c>
      <c r="B220" s="55" t="s">
        <v>402</v>
      </c>
      <c r="C220" s="51">
        <v>611968</v>
      </c>
      <c r="D220" s="40">
        <v>214</v>
      </c>
    </row>
    <row r="221" spans="1:4">
      <c r="A221" s="47">
        <v>614560</v>
      </c>
      <c r="B221" s="55" t="s">
        <v>403</v>
      </c>
      <c r="C221" s="51">
        <v>614560</v>
      </c>
      <c r="D221" s="40">
        <v>215</v>
      </c>
    </row>
    <row r="222" spans="1:4">
      <c r="A222" s="47">
        <v>614575</v>
      </c>
      <c r="B222" s="55" t="s">
        <v>404</v>
      </c>
      <c r="C222" s="51">
        <v>614575</v>
      </c>
      <c r="D222" s="40">
        <v>216</v>
      </c>
    </row>
    <row r="223" spans="1:4">
      <c r="A223" s="47">
        <v>614644</v>
      </c>
      <c r="B223" s="55" t="s">
        <v>405</v>
      </c>
      <c r="C223" s="51">
        <v>614644</v>
      </c>
      <c r="D223" s="40">
        <v>217</v>
      </c>
    </row>
    <row r="224" spans="1:4">
      <c r="A224" s="47">
        <v>614670</v>
      </c>
      <c r="B224" s="55" t="s">
        <v>406</v>
      </c>
      <c r="C224" s="51">
        <v>614670</v>
      </c>
      <c r="D224" s="40">
        <v>218</v>
      </c>
    </row>
    <row r="225" spans="1:4">
      <c r="A225" s="47">
        <v>614666</v>
      </c>
      <c r="B225" s="55" t="s">
        <v>407</v>
      </c>
      <c r="C225" s="51">
        <v>614666</v>
      </c>
      <c r="D225" s="40">
        <v>219</v>
      </c>
    </row>
    <row r="226" spans="1:4">
      <c r="A226" s="47">
        <v>614587</v>
      </c>
      <c r="B226" s="55" t="s">
        <v>408</v>
      </c>
      <c r="C226" s="51">
        <v>614587</v>
      </c>
      <c r="D226" s="40">
        <v>220</v>
      </c>
    </row>
    <row r="227" spans="1:4">
      <c r="A227" s="47">
        <v>614673</v>
      </c>
      <c r="B227" s="55" t="s">
        <v>409</v>
      </c>
      <c r="C227" s="51">
        <v>614673</v>
      </c>
      <c r="D227" s="40">
        <v>221</v>
      </c>
    </row>
    <row r="228" spans="1:4">
      <c r="A228" s="47">
        <v>614617</v>
      </c>
      <c r="B228" s="55" t="s">
        <v>410</v>
      </c>
      <c r="C228" s="51">
        <v>614617</v>
      </c>
      <c r="D228" s="40">
        <v>222</v>
      </c>
    </row>
    <row r="229" spans="1:4">
      <c r="A229" s="47">
        <v>614596</v>
      </c>
      <c r="B229" s="55" t="s">
        <v>411</v>
      </c>
      <c r="C229" s="51">
        <v>614596</v>
      </c>
      <c r="D229" s="40">
        <v>223</v>
      </c>
    </row>
    <row r="230" spans="1:4">
      <c r="A230" s="47">
        <v>614891</v>
      </c>
      <c r="B230" s="55" t="s">
        <v>412</v>
      </c>
      <c r="C230" s="51">
        <v>614891</v>
      </c>
      <c r="D230" s="40">
        <v>224</v>
      </c>
    </row>
    <row r="231" spans="1:4">
      <c r="A231" s="47">
        <v>614892</v>
      </c>
      <c r="B231" s="55" t="s">
        <v>413</v>
      </c>
      <c r="C231" s="51">
        <v>614892</v>
      </c>
      <c r="D231" s="40">
        <v>225</v>
      </c>
    </row>
    <row r="232" spans="1:4">
      <c r="A232" s="47">
        <v>614678</v>
      </c>
      <c r="B232" s="55" t="s">
        <v>414</v>
      </c>
      <c r="C232" s="51">
        <v>614678</v>
      </c>
      <c r="D232" s="40">
        <v>226</v>
      </c>
    </row>
    <row r="233" spans="1:4">
      <c r="A233" s="47">
        <v>614020</v>
      </c>
      <c r="B233" s="55" t="s">
        <v>415</v>
      </c>
      <c r="C233" s="51">
        <v>614020</v>
      </c>
      <c r="D233" s="40">
        <v>227</v>
      </c>
    </row>
    <row r="234" spans="1:4">
      <c r="A234" s="47">
        <v>542112</v>
      </c>
      <c r="B234" s="55" t="s">
        <v>416</v>
      </c>
      <c r="C234" s="51">
        <v>542112</v>
      </c>
      <c r="D234" s="40">
        <v>228</v>
      </c>
    </row>
    <row r="235" spans="1:4">
      <c r="A235" s="47">
        <v>542111</v>
      </c>
      <c r="B235" s="55" t="s">
        <v>417</v>
      </c>
      <c r="C235" s="51">
        <v>542111</v>
      </c>
      <c r="D235" s="40">
        <v>229</v>
      </c>
    </row>
    <row r="236" spans="1:4">
      <c r="A236" s="47">
        <v>614659</v>
      </c>
      <c r="B236" s="55" t="s">
        <v>418</v>
      </c>
      <c r="C236" s="51">
        <v>614659</v>
      </c>
      <c r="D236" s="40">
        <v>230</v>
      </c>
    </row>
    <row r="237" spans="1:4">
      <c r="A237" s="47">
        <v>614660</v>
      </c>
      <c r="B237" s="55" t="s">
        <v>419</v>
      </c>
      <c r="C237" s="51">
        <v>614660</v>
      </c>
      <c r="D237" s="40">
        <v>231</v>
      </c>
    </row>
    <row r="238" spans="1:4">
      <c r="A238" s="47">
        <v>614675</v>
      </c>
      <c r="B238" s="55" t="s">
        <v>420</v>
      </c>
      <c r="C238" s="51">
        <v>614675</v>
      </c>
      <c r="D238" s="40">
        <v>232</v>
      </c>
    </row>
    <row r="239" spans="1:4">
      <c r="A239" s="47">
        <v>614735</v>
      </c>
      <c r="B239" s="55" t="s">
        <v>421</v>
      </c>
      <c r="C239" s="51">
        <v>614735</v>
      </c>
      <c r="D239" s="40">
        <v>233</v>
      </c>
    </row>
    <row r="240" spans="1:4">
      <c r="A240" s="47">
        <v>614632</v>
      </c>
      <c r="B240" s="55" t="s">
        <v>422</v>
      </c>
      <c r="C240" s="51">
        <v>614632</v>
      </c>
      <c r="D240" s="40">
        <v>234</v>
      </c>
    </row>
    <row r="241" spans="1:4">
      <c r="A241" s="47">
        <v>614633</v>
      </c>
      <c r="B241" s="55" t="s">
        <v>423</v>
      </c>
      <c r="C241" s="51">
        <v>614633</v>
      </c>
      <c r="D241" s="40">
        <v>235</v>
      </c>
    </row>
    <row r="242" spans="1:4">
      <c r="A242" s="47">
        <v>614634</v>
      </c>
      <c r="B242" s="55" t="s">
        <v>424</v>
      </c>
      <c r="C242" s="51">
        <v>614634</v>
      </c>
      <c r="D242" s="40">
        <v>236</v>
      </c>
    </row>
    <row r="243" spans="1:4">
      <c r="A243" s="47">
        <v>614635</v>
      </c>
      <c r="B243" s="55" t="s">
        <v>425</v>
      </c>
      <c r="C243" s="51">
        <v>614635</v>
      </c>
      <c r="D243" s="40">
        <v>237</v>
      </c>
    </row>
    <row r="244" spans="1:4">
      <c r="A244" s="47">
        <v>614655</v>
      </c>
      <c r="B244" s="55" t="s">
        <v>426</v>
      </c>
      <c r="C244" s="51">
        <v>614655</v>
      </c>
      <c r="D244" s="40">
        <v>238</v>
      </c>
    </row>
    <row r="245" spans="1:4">
      <c r="A245" s="47">
        <v>614663</v>
      </c>
      <c r="B245" s="55" t="s">
        <v>427</v>
      </c>
      <c r="C245" s="51">
        <v>614663</v>
      </c>
      <c r="D245" s="40">
        <v>239</v>
      </c>
    </row>
    <row r="246" spans="1:4">
      <c r="A246" s="47">
        <v>410007</v>
      </c>
      <c r="B246" s="55" t="s">
        <v>428</v>
      </c>
      <c r="C246" s="51">
        <v>410007</v>
      </c>
      <c r="D246" s="40">
        <v>240</v>
      </c>
    </row>
    <row r="247" spans="1:4">
      <c r="A247" s="47">
        <v>410002</v>
      </c>
      <c r="B247" s="55" t="s">
        <v>429</v>
      </c>
      <c r="C247" s="51">
        <v>410002</v>
      </c>
      <c r="D247" s="40">
        <v>241</v>
      </c>
    </row>
    <row r="248" spans="1:4">
      <c r="A248" s="47">
        <v>410003</v>
      </c>
      <c r="B248" s="55" t="s">
        <v>430</v>
      </c>
      <c r="C248" s="51">
        <v>410003</v>
      </c>
      <c r="D248" s="40">
        <v>242</v>
      </c>
    </row>
    <row r="249" spans="1:4">
      <c r="A249" s="47">
        <v>410004</v>
      </c>
      <c r="B249" s="55" t="s">
        <v>431</v>
      </c>
      <c r="C249" s="51">
        <v>410004</v>
      </c>
      <c r="D249" s="40">
        <v>243</v>
      </c>
    </row>
    <row r="250" spans="1:4">
      <c r="A250" s="47">
        <v>410005</v>
      </c>
      <c r="B250" s="55" t="s">
        <v>432</v>
      </c>
      <c r="C250" s="51">
        <v>410005</v>
      </c>
      <c r="D250" s="40">
        <v>244</v>
      </c>
    </row>
    <row r="251" spans="1:4">
      <c r="A251" s="47">
        <v>410006</v>
      </c>
      <c r="B251" s="55" t="s">
        <v>433</v>
      </c>
      <c r="C251" s="51">
        <v>410006</v>
      </c>
      <c r="D251" s="40">
        <v>245</v>
      </c>
    </row>
    <row r="252" spans="1:4">
      <c r="A252" s="47">
        <v>720001</v>
      </c>
      <c r="B252" s="55" t="s">
        <v>434</v>
      </c>
      <c r="C252" s="51">
        <v>720001</v>
      </c>
      <c r="D252" s="40">
        <v>246</v>
      </c>
    </row>
    <row r="253" spans="1:4">
      <c r="A253" s="47">
        <v>710001</v>
      </c>
      <c r="B253" s="55" t="s">
        <v>435</v>
      </c>
      <c r="C253" s="51">
        <v>710001</v>
      </c>
      <c r="D253" s="40">
        <v>247</v>
      </c>
    </row>
    <row r="254" spans="1:4">
      <c r="A254" s="47">
        <v>860092</v>
      </c>
      <c r="B254" s="55" t="s">
        <v>436</v>
      </c>
      <c r="C254" s="51">
        <v>860092</v>
      </c>
      <c r="D254" s="40">
        <v>248</v>
      </c>
    </row>
    <row r="255" spans="1:4">
      <c r="A255" s="47">
        <v>860132</v>
      </c>
      <c r="B255" s="55" t="s">
        <v>437</v>
      </c>
      <c r="C255" s="51">
        <v>860132</v>
      </c>
      <c r="D255" s="40">
        <v>249</v>
      </c>
    </row>
    <row r="256" spans="1:4">
      <c r="A256" s="47">
        <v>840201</v>
      </c>
      <c r="B256" s="55" t="s">
        <v>438</v>
      </c>
      <c r="C256" s="51">
        <v>840201</v>
      </c>
      <c r="D256" s="40">
        <v>250</v>
      </c>
    </row>
    <row r="257" spans="1:4">
      <c r="A257" s="47">
        <v>860082</v>
      </c>
      <c r="B257" s="55" t="s">
        <v>439</v>
      </c>
      <c r="C257" s="51">
        <v>860082</v>
      </c>
      <c r="D257" s="40">
        <v>251</v>
      </c>
    </row>
    <row r="258" spans="1:4">
      <c r="A258" s="47">
        <v>860060</v>
      </c>
      <c r="B258" s="55" t="s">
        <v>440</v>
      </c>
      <c r="C258" s="51">
        <v>860060</v>
      </c>
      <c r="D258" s="40">
        <v>252</v>
      </c>
    </row>
    <row r="259" spans="1:4">
      <c r="A259" s="47">
        <v>860043</v>
      </c>
      <c r="B259" s="55" t="s">
        <v>441</v>
      </c>
      <c r="C259" s="51">
        <v>860043</v>
      </c>
      <c r="D259" s="40">
        <v>253</v>
      </c>
    </row>
    <row r="260" spans="1:4">
      <c r="A260" s="47">
        <v>870165</v>
      </c>
      <c r="B260" s="55" t="s">
        <v>442</v>
      </c>
      <c r="C260" s="51">
        <v>870165</v>
      </c>
      <c r="D260" s="40">
        <v>254</v>
      </c>
    </row>
    <row r="261" spans="1:4">
      <c r="A261" s="47">
        <v>860050</v>
      </c>
      <c r="B261" s="55" t="s">
        <v>443</v>
      </c>
      <c r="C261" s="51">
        <v>860050</v>
      </c>
      <c r="D261" s="40">
        <v>255</v>
      </c>
    </row>
    <row r="262" spans="1:4">
      <c r="A262" s="47">
        <v>860061</v>
      </c>
      <c r="B262" s="55" t="s">
        <v>444</v>
      </c>
      <c r="C262" s="51">
        <v>860061</v>
      </c>
      <c r="D262" s="40">
        <v>256</v>
      </c>
    </row>
    <row r="263" spans="1:4">
      <c r="A263" s="47">
        <v>860036</v>
      </c>
      <c r="B263" s="55" t="s">
        <v>445</v>
      </c>
      <c r="C263" s="51">
        <v>860036</v>
      </c>
      <c r="D263" s="40">
        <v>257</v>
      </c>
    </row>
    <row r="264" spans="1:4">
      <c r="A264" s="47">
        <v>860080</v>
      </c>
      <c r="B264" s="55" t="s">
        <v>446</v>
      </c>
      <c r="C264" s="51">
        <v>860080</v>
      </c>
      <c r="D264" s="40">
        <v>258</v>
      </c>
    </row>
    <row r="265" spans="1:4">
      <c r="A265" s="47">
        <v>860164</v>
      </c>
      <c r="B265" s="55" t="s">
        <v>447</v>
      </c>
      <c r="C265" s="51">
        <v>860164</v>
      </c>
      <c r="D265" s="40">
        <v>259</v>
      </c>
    </row>
    <row r="266" spans="1:4">
      <c r="A266" s="47">
        <v>860018</v>
      </c>
      <c r="B266" s="55" t="s">
        <v>448</v>
      </c>
      <c r="C266" s="51">
        <v>860018</v>
      </c>
      <c r="D266" s="40">
        <v>260</v>
      </c>
    </row>
    <row r="267" spans="1:4">
      <c r="A267" s="47">
        <v>860062</v>
      </c>
      <c r="B267" s="55" t="s">
        <v>449</v>
      </c>
      <c r="C267" s="51">
        <v>860062</v>
      </c>
      <c r="D267" s="40">
        <v>261</v>
      </c>
    </row>
    <row r="268" spans="1:4">
      <c r="A268" s="47">
        <v>860019</v>
      </c>
      <c r="B268" s="55" t="s">
        <v>450</v>
      </c>
      <c r="C268" s="51">
        <v>860019</v>
      </c>
      <c r="D268" s="40">
        <v>262</v>
      </c>
    </row>
    <row r="269" spans="1:4">
      <c r="A269" s="47">
        <v>860042</v>
      </c>
      <c r="B269" s="55" t="s">
        <v>451</v>
      </c>
      <c r="C269" s="51">
        <v>860042</v>
      </c>
      <c r="D269" s="40">
        <v>263</v>
      </c>
    </row>
    <row r="270" spans="1:4">
      <c r="A270" s="47">
        <v>860040</v>
      </c>
      <c r="B270" s="55" t="s">
        <v>452</v>
      </c>
      <c r="C270" s="51">
        <v>860040</v>
      </c>
      <c r="D270" s="40">
        <v>264</v>
      </c>
    </row>
    <row r="271" spans="1:4">
      <c r="A271" s="47">
        <v>860022</v>
      </c>
      <c r="B271" s="55" t="s">
        <v>453</v>
      </c>
      <c r="C271" s="51">
        <v>860022</v>
      </c>
      <c r="D271" s="40">
        <v>265</v>
      </c>
    </row>
    <row r="272" spans="1:4">
      <c r="A272" s="47">
        <v>860131</v>
      </c>
      <c r="B272" s="55" t="s">
        <v>454</v>
      </c>
      <c r="C272" s="51">
        <v>860131</v>
      </c>
      <c r="D272" s="40">
        <v>266</v>
      </c>
    </row>
    <row r="273" spans="1:4">
      <c r="A273" s="47">
        <v>860015</v>
      </c>
      <c r="B273" s="55" t="s">
        <v>455</v>
      </c>
      <c r="C273" s="51">
        <v>860015</v>
      </c>
      <c r="D273" s="40">
        <v>267</v>
      </c>
    </row>
    <row r="274" spans="1:4">
      <c r="A274" s="47">
        <v>860021</v>
      </c>
      <c r="B274" s="55" t="s">
        <v>456</v>
      </c>
      <c r="C274" s="51">
        <v>860021</v>
      </c>
      <c r="D274" s="40">
        <v>268</v>
      </c>
    </row>
    <row r="275" spans="1:4">
      <c r="A275" s="47">
        <v>860059</v>
      </c>
      <c r="B275" s="55" t="s">
        <v>457</v>
      </c>
      <c r="C275" s="51">
        <v>860059</v>
      </c>
      <c r="D275" s="40">
        <v>269</v>
      </c>
    </row>
    <row r="276" spans="1:4">
      <c r="A276" s="47">
        <v>860041</v>
      </c>
      <c r="B276" s="55" t="s">
        <v>458</v>
      </c>
      <c r="C276" s="51">
        <v>860041</v>
      </c>
      <c r="D276" s="40">
        <v>270</v>
      </c>
    </row>
    <row r="277" spans="1:4">
      <c r="A277" s="47">
        <v>860089</v>
      </c>
      <c r="B277" s="55" t="s">
        <v>459</v>
      </c>
      <c r="C277" s="51">
        <v>860089</v>
      </c>
      <c r="D277" s="40">
        <v>271</v>
      </c>
    </row>
    <row r="278" spans="1:4">
      <c r="A278" s="47">
        <v>860029</v>
      </c>
      <c r="B278" s="55" t="s">
        <v>460</v>
      </c>
      <c r="C278" s="51">
        <v>860029</v>
      </c>
      <c r="D278" s="40">
        <v>272</v>
      </c>
    </row>
    <row r="279" spans="1:4">
      <c r="A279" s="47">
        <v>860097</v>
      </c>
      <c r="B279" s="55" t="s">
        <v>461</v>
      </c>
      <c r="C279" s="51">
        <v>860097</v>
      </c>
      <c r="D279" s="40">
        <v>273</v>
      </c>
    </row>
    <row r="280" spans="1:4">
      <c r="A280" s="47">
        <v>860024</v>
      </c>
      <c r="B280" s="55" t="s">
        <v>462</v>
      </c>
      <c r="C280" s="51">
        <v>860024</v>
      </c>
      <c r="D280" s="40">
        <v>274</v>
      </c>
    </row>
    <row r="281" spans="1:4">
      <c r="A281" s="47">
        <v>860157</v>
      </c>
      <c r="B281" s="55" t="s">
        <v>463</v>
      </c>
      <c r="C281" s="51">
        <v>860157</v>
      </c>
      <c r="D281" s="40">
        <v>275</v>
      </c>
    </row>
    <row r="282" spans="1:4">
      <c r="A282" s="47">
        <v>860142</v>
      </c>
      <c r="B282" s="55" t="s">
        <v>464</v>
      </c>
      <c r="C282" s="51">
        <v>860142</v>
      </c>
      <c r="D282" s="40">
        <v>276</v>
      </c>
    </row>
    <row r="283" spans="1:4">
      <c r="A283" s="47">
        <v>860034</v>
      </c>
      <c r="B283" s="55" t="s">
        <v>465</v>
      </c>
      <c r="C283" s="51">
        <v>860034</v>
      </c>
      <c r="D283" s="40">
        <v>277</v>
      </c>
    </row>
    <row r="284" spans="1:4">
      <c r="A284" s="47">
        <v>860155</v>
      </c>
      <c r="B284" s="55" t="s">
        <v>466</v>
      </c>
      <c r="C284" s="51">
        <v>860155</v>
      </c>
      <c r="D284" s="40">
        <v>278</v>
      </c>
    </row>
    <row r="285" spans="1:4">
      <c r="A285" s="47">
        <v>860067</v>
      </c>
      <c r="B285" s="55" t="s">
        <v>467</v>
      </c>
      <c r="C285" s="51">
        <v>860067</v>
      </c>
      <c r="D285" s="40">
        <v>279</v>
      </c>
    </row>
    <row r="286" spans="1:4">
      <c r="A286" s="47">
        <v>860146</v>
      </c>
      <c r="B286" s="55" t="s">
        <v>468</v>
      </c>
      <c r="C286" s="51">
        <v>860146</v>
      </c>
      <c r="D286" s="40">
        <v>280</v>
      </c>
    </row>
    <row r="287" spans="1:4">
      <c r="A287" s="47">
        <v>860037</v>
      </c>
      <c r="B287" s="55" t="s">
        <v>469</v>
      </c>
      <c r="C287" s="51">
        <v>860037</v>
      </c>
      <c r="D287" s="40">
        <v>281</v>
      </c>
    </row>
    <row r="288" spans="1:4">
      <c r="A288" s="47">
        <v>860144</v>
      </c>
      <c r="B288" s="55" t="s">
        <v>470</v>
      </c>
      <c r="C288" s="51">
        <v>860144</v>
      </c>
      <c r="D288" s="40">
        <v>282</v>
      </c>
    </row>
    <row r="289" spans="1:4">
      <c r="A289" s="47">
        <v>860149</v>
      </c>
      <c r="B289" s="55" t="s">
        <v>471</v>
      </c>
      <c r="C289" s="51">
        <v>860149</v>
      </c>
      <c r="D289" s="40">
        <v>283</v>
      </c>
    </row>
    <row r="290" spans="1:4">
      <c r="A290" s="47">
        <v>860044</v>
      </c>
      <c r="B290" s="55" t="s">
        <v>472</v>
      </c>
      <c r="C290" s="51">
        <v>860044</v>
      </c>
      <c r="D290" s="40">
        <v>284</v>
      </c>
    </row>
    <row r="291" spans="1:4">
      <c r="A291" s="47">
        <v>860159</v>
      </c>
      <c r="B291" s="55" t="s">
        <v>473</v>
      </c>
      <c r="C291" s="51">
        <v>860159</v>
      </c>
      <c r="D291" s="40">
        <v>285</v>
      </c>
    </row>
    <row r="292" spans="1:4">
      <c r="A292" s="47">
        <v>860075</v>
      </c>
      <c r="B292" s="55" t="s">
        <v>474</v>
      </c>
      <c r="C292" s="51">
        <v>860075</v>
      </c>
      <c r="D292" s="40">
        <v>286</v>
      </c>
    </row>
    <row r="293" spans="1:4">
      <c r="A293" s="47">
        <v>860096</v>
      </c>
      <c r="B293" s="55" t="s">
        <v>475</v>
      </c>
      <c r="C293" s="51">
        <v>860096</v>
      </c>
      <c r="D293" s="40">
        <v>287</v>
      </c>
    </row>
    <row r="294" spans="1:4">
      <c r="A294" s="47">
        <v>860102</v>
      </c>
      <c r="B294" s="55" t="s">
        <v>476</v>
      </c>
      <c r="C294" s="51">
        <v>860102</v>
      </c>
      <c r="D294" s="40">
        <v>288</v>
      </c>
    </row>
    <row r="295" spans="1:4">
      <c r="A295" s="47">
        <v>860077</v>
      </c>
      <c r="B295" s="55" t="s">
        <v>477</v>
      </c>
      <c r="C295" s="51">
        <v>860077</v>
      </c>
      <c r="D295" s="40">
        <v>289</v>
      </c>
    </row>
    <row r="296" spans="1:4">
      <c r="A296" s="47">
        <v>860154</v>
      </c>
      <c r="B296" s="55" t="s">
        <v>478</v>
      </c>
      <c r="C296" s="51">
        <v>860154</v>
      </c>
      <c r="D296" s="40">
        <v>290</v>
      </c>
    </row>
    <row r="297" spans="1:4">
      <c r="A297" s="47">
        <v>870061</v>
      </c>
      <c r="B297" s="55" t="s">
        <v>479</v>
      </c>
      <c r="C297" s="51">
        <v>870061</v>
      </c>
      <c r="D297" s="40">
        <v>291</v>
      </c>
    </row>
    <row r="298" spans="1:4">
      <c r="A298" s="47">
        <v>860065</v>
      </c>
      <c r="B298" s="55" t="s">
        <v>480</v>
      </c>
      <c r="C298" s="51">
        <v>860065</v>
      </c>
      <c r="D298" s="40">
        <v>292</v>
      </c>
    </row>
    <row r="299" spans="1:4">
      <c r="A299" s="47">
        <v>860020</v>
      </c>
      <c r="B299" s="55" t="s">
        <v>481</v>
      </c>
      <c r="C299" s="51">
        <v>860020</v>
      </c>
      <c r="D299" s="40">
        <v>293</v>
      </c>
    </row>
    <row r="300" spans="1:4">
      <c r="A300" s="47">
        <v>860158</v>
      </c>
      <c r="B300" s="55" t="s">
        <v>482</v>
      </c>
      <c r="C300" s="51">
        <v>860158</v>
      </c>
      <c r="D300" s="40">
        <v>294</v>
      </c>
    </row>
    <row r="301" spans="1:4">
      <c r="A301" s="47">
        <v>860104</v>
      </c>
      <c r="B301" s="55" t="s">
        <v>483</v>
      </c>
      <c r="C301" s="51">
        <v>860104</v>
      </c>
      <c r="D301" s="40">
        <v>295</v>
      </c>
    </row>
    <row r="302" spans="1:4">
      <c r="A302" s="47">
        <v>860151</v>
      </c>
      <c r="B302" s="55" t="s">
        <v>484</v>
      </c>
      <c r="C302" s="51">
        <v>860151</v>
      </c>
      <c r="D302" s="40">
        <v>296</v>
      </c>
    </row>
    <row r="303" spans="1:4">
      <c r="A303" s="47">
        <v>860148</v>
      </c>
      <c r="B303" s="55" t="s">
        <v>485</v>
      </c>
      <c r="C303" s="51">
        <v>860148</v>
      </c>
      <c r="D303" s="40">
        <v>297</v>
      </c>
    </row>
    <row r="304" spans="1:4">
      <c r="A304" s="47">
        <v>860145</v>
      </c>
      <c r="B304" s="55" t="s">
        <v>486</v>
      </c>
      <c r="C304" s="51">
        <v>860145</v>
      </c>
      <c r="D304" s="40">
        <v>298</v>
      </c>
    </row>
    <row r="305" spans="1:4">
      <c r="A305" s="47">
        <v>860011</v>
      </c>
      <c r="B305" s="55" t="s">
        <v>487</v>
      </c>
      <c r="C305" s="51">
        <v>860011</v>
      </c>
      <c r="D305" s="40">
        <v>299</v>
      </c>
    </row>
    <row r="306" spans="1:4">
      <c r="A306" s="47">
        <v>860108</v>
      </c>
      <c r="B306" s="55" t="s">
        <v>488</v>
      </c>
      <c r="C306" s="51">
        <v>860108</v>
      </c>
      <c r="D306" s="40">
        <v>300</v>
      </c>
    </row>
    <row r="307" spans="1:4">
      <c r="A307" s="47">
        <v>860129</v>
      </c>
      <c r="B307" s="55" t="s">
        <v>489</v>
      </c>
      <c r="C307" s="51">
        <v>860129</v>
      </c>
      <c r="D307" s="40">
        <v>301</v>
      </c>
    </row>
    <row r="308" spans="1:4">
      <c r="A308" s="47">
        <v>860143</v>
      </c>
      <c r="B308" s="55" t="s">
        <v>490</v>
      </c>
      <c r="C308" s="51">
        <v>860143</v>
      </c>
      <c r="D308" s="40">
        <v>302</v>
      </c>
    </row>
    <row r="309" spans="1:4">
      <c r="A309" s="47">
        <v>860103</v>
      </c>
      <c r="B309" s="55" t="s">
        <v>491</v>
      </c>
      <c r="C309" s="51">
        <v>860103</v>
      </c>
      <c r="D309" s="40">
        <v>303</v>
      </c>
    </row>
    <row r="310" spans="1:4">
      <c r="A310" s="47">
        <v>860093</v>
      </c>
      <c r="B310" s="55" t="s">
        <v>492</v>
      </c>
      <c r="C310" s="51">
        <v>860093</v>
      </c>
      <c r="D310" s="40">
        <v>304</v>
      </c>
    </row>
    <row r="311" spans="1:4">
      <c r="A311" s="47">
        <v>860150</v>
      </c>
      <c r="B311" s="55" t="s">
        <v>493</v>
      </c>
      <c r="C311" s="51">
        <v>860150</v>
      </c>
      <c r="D311" s="40">
        <v>305</v>
      </c>
    </row>
    <row r="312" spans="1:4">
      <c r="A312" s="47">
        <v>860147</v>
      </c>
      <c r="B312" s="55" t="s">
        <v>494</v>
      </c>
      <c r="C312" s="51">
        <v>860147</v>
      </c>
      <c r="D312" s="40">
        <v>306</v>
      </c>
    </row>
    <row r="313" spans="1:4">
      <c r="A313" s="47">
        <v>860161</v>
      </c>
      <c r="B313" s="55" t="s">
        <v>495</v>
      </c>
      <c r="C313" s="51">
        <v>860161</v>
      </c>
      <c r="D313" s="40">
        <v>307</v>
      </c>
    </row>
    <row r="314" spans="1:4">
      <c r="A314" s="47">
        <v>860141</v>
      </c>
      <c r="B314" s="55" t="s">
        <v>496</v>
      </c>
      <c r="C314" s="51">
        <v>860141</v>
      </c>
      <c r="D314" s="40">
        <v>308</v>
      </c>
    </row>
    <row r="315" spans="1:4">
      <c r="A315" s="47">
        <v>860128</v>
      </c>
      <c r="B315" s="55" t="s">
        <v>497</v>
      </c>
      <c r="C315" s="51">
        <v>860128</v>
      </c>
      <c r="D315" s="40">
        <v>309</v>
      </c>
    </row>
    <row r="316" spans="1:4">
      <c r="A316" s="47">
        <v>860136</v>
      </c>
      <c r="B316" s="55" t="s">
        <v>498</v>
      </c>
      <c r="C316" s="51">
        <v>860136</v>
      </c>
      <c r="D316" s="40">
        <v>310</v>
      </c>
    </row>
    <row r="317" spans="1:4">
      <c r="A317" s="47">
        <v>860140</v>
      </c>
      <c r="B317" s="55" t="s">
        <v>499</v>
      </c>
      <c r="C317" s="51">
        <v>860140</v>
      </c>
      <c r="D317" s="40">
        <v>311</v>
      </c>
    </row>
    <row r="318" spans="1:4">
      <c r="A318" s="47">
        <v>860038</v>
      </c>
      <c r="B318" s="55" t="s">
        <v>500</v>
      </c>
      <c r="C318" s="51">
        <v>860038</v>
      </c>
      <c r="D318" s="40">
        <v>312</v>
      </c>
    </row>
    <row r="319" spans="1:4">
      <c r="A319" s="47">
        <v>860156</v>
      </c>
      <c r="B319" s="55" t="s">
        <v>501</v>
      </c>
      <c r="C319" s="51">
        <v>860156</v>
      </c>
      <c r="D319" s="40">
        <v>313</v>
      </c>
    </row>
    <row r="320" spans="1:4">
      <c r="A320" s="47">
        <v>860110</v>
      </c>
      <c r="B320" s="55" t="s">
        <v>502</v>
      </c>
      <c r="C320" s="51">
        <v>860110</v>
      </c>
      <c r="D320" s="40">
        <v>314</v>
      </c>
    </row>
    <row r="321" spans="1:4">
      <c r="A321" s="47">
        <v>860135</v>
      </c>
      <c r="B321" s="55" t="s">
        <v>503</v>
      </c>
      <c r="C321" s="51">
        <v>860135</v>
      </c>
      <c r="D321" s="40">
        <v>315</v>
      </c>
    </row>
    <row r="322" spans="1:4">
      <c r="A322" s="47">
        <v>860139</v>
      </c>
      <c r="B322" s="55" t="s">
        <v>504</v>
      </c>
      <c r="C322" s="51">
        <v>860139</v>
      </c>
      <c r="D322" s="40">
        <v>316</v>
      </c>
    </row>
    <row r="323" spans="1:4">
      <c r="A323" s="47">
        <v>860138</v>
      </c>
      <c r="B323" s="55" t="s">
        <v>505</v>
      </c>
      <c r="C323" s="51">
        <v>860138</v>
      </c>
      <c r="D323" s="40">
        <v>317</v>
      </c>
    </row>
    <row r="324" spans="1:4">
      <c r="A324" s="47">
        <v>860152</v>
      </c>
      <c r="B324" s="55" t="s">
        <v>506</v>
      </c>
      <c r="C324" s="51">
        <v>860152</v>
      </c>
      <c r="D324" s="40">
        <v>318</v>
      </c>
    </row>
    <row r="325" spans="1:4">
      <c r="A325" s="47">
        <v>860153</v>
      </c>
      <c r="B325" s="55" t="s">
        <v>507</v>
      </c>
      <c r="C325" s="51">
        <v>860153</v>
      </c>
      <c r="D325" s="40">
        <v>319</v>
      </c>
    </row>
    <row r="326" spans="1:4">
      <c r="A326" s="47">
        <v>860094</v>
      </c>
      <c r="B326" s="55" t="s">
        <v>508</v>
      </c>
      <c r="C326" s="51">
        <v>860094</v>
      </c>
      <c r="D326" s="40">
        <v>320</v>
      </c>
    </row>
    <row r="327" spans="1:4">
      <c r="A327" s="47">
        <v>860028</v>
      </c>
      <c r="B327" s="55" t="s">
        <v>509</v>
      </c>
      <c r="C327" s="51">
        <v>860028</v>
      </c>
      <c r="D327" s="40">
        <v>321</v>
      </c>
    </row>
    <row r="328" spans="1:4">
      <c r="A328" s="47">
        <v>860057</v>
      </c>
      <c r="B328" s="55" t="s">
        <v>510</v>
      </c>
      <c r="C328" s="51">
        <v>860057</v>
      </c>
      <c r="D328" s="40">
        <v>322</v>
      </c>
    </row>
    <row r="329" spans="1:4">
      <c r="A329" s="47">
        <v>860046</v>
      </c>
      <c r="B329" s="55" t="s">
        <v>511</v>
      </c>
      <c r="C329" s="51">
        <v>860046</v>
      </c>
      <c r="D329" s="40">
        <v>323</v>
      </c>
    </row>
    <row r="330" spans="1:4">
      <c r="A330" s="47">
        <v>860039</v>
      </c>
      <c r="B330" s="55" t="s">
        <v>512</v>
      </c>
      <c r="C330" s="51">
        <v>860039</v>
      </c>
      <c r="D330" s="40">
        <v>324</v>
      </c>
    </row>
    <row r="331" spans="1:4">
      <c r="A331" s="47">
        <v>860045</v>
      </c>
      <c r="B331" s="55" t="s">
        <v>513</v>
      </c>
      <c r="C331" s="51">
        <v>860045</v>
      </c>
      <c r="D331" s="40">
        <v>325</v>
      </c>
    </row>
    <row r="332" spans="1:4">
      <c r="A332" s="47">
        <v>860127</v>
      </c>
      <c r="B332" s="55" t="s">
        <v>514</v>
      </c>
      <c r="C332" s="51">
        <v>860127</v>
      </c>
      <c r="D332" s="40">
        <v>326</v>
      </c>
    </row>
    <row r="333" spans="1:4">
      <c r="A333" s="47">
        <v>860126</v>
      </c>
      <c r="B333" s="55" t="s">
        <v>515</v>
      </c>
      <c r="C333" s="51">
        <v>860126</v>
      </c>
      <c r="D333" s="40">
        <v>327</v>
      </c>
    </row>
    <row r="334" spans="1:4">
      <c r="A334" s="47">
        <v>860590</v>
      </c>
      <c r="B334" s="55" t="s">
        <v>516</v>
      </c>
      <c r="C334" s="51">
        <v>860590</v>
      </c>
      <c r="D334" s="40">
        <v>328</v>
      </c>
    </row>
    <row r="335" spans="1:4">
      <c r="A335" s="47">
        <v>860035</v>
      </c>
      <c r="B335" s="55" t="s">
        <v>517</v>
      </c>
      <c r="C335" s="51">
        <v>860035</v>
      </c>
      <c r="D335" s="40">
        <v>329</v>
      </c>
    </row>
    <row r="336" spans="1:4">
      <c r="A336" s="47">
        <v>860023</v>
      </c>
      <c r="B336" s="55" t="s">
        <v>518</v>
      </c>
      <c r="C336" s="51">
        <v>860023</v>
      </c>
      <c r="D336" s="40">
        <v>330</v>
      </c>
    </row>
    <row r="337" spans="1:4">
      <c r="A337" s="47">
        <v>860052</v>
      </c>
      <c r="B337" s="55" t="s">
        <v>519</v>
      </c>
      <c r="C337" s="51">
        <v>860052</v>
      </c>
      <c r="D337" s="40">
        <v>331</v>
      </c>
    </row>
    <row r="338" spans="1:4">
      <c r="A338" s="47">
        <v>860052</v>
      </c>
      <c r="B338" s="55" t="s">
        <v>519</v>
      </c>
      <c r="C338" s="51">
        <v>860052</v>
      </c>
      <c r="D338" s="40">
        <v>332</v>
      </c>
    </row>
    <row r="339" spans="1:4">
      <c r="A339" s="47">
        <v>840205</v>
      </c>
      <c r="B339" s="55" t="s">
        <v>520</v>
      </c>
      <c r="C339" s="51">
        <v>840205</v>
      </c>
      <c r="D339" s="40">
        <v>333</v>
      </c>
    </row>
    <row r="340" spans="1:4">
      <c r="A340" s="47">
        <v>830101</v>
      </c>
      <c r="B340" s="55" t="s">
        <v>521</v>
      </c>
      <c r="C340" s="51">
        <v>830101</v>
      </c>
      <c r="D340" s="40">
        <v>334</v>
      </c>
    </row>
    <row r="341" spans="1:4">
      <c r="A341" s="47">
        <v>840101</v>
      </c>
      <c r="B341" s="55" t="s">
        <v>522</v>
      </c>
      <c r="C341" s="51">
        <v>840101</v>
      </c>
      <c r="D341" s="40">
        <v>335</v>
      </c>
    </row>
    <row r="342" spans="1:4">
      <c r="A342" s="47">
        <v>840102</v>
      </c>
      <c r="B342" s="55" t="s">
        <v>523</v>
      </c>
      <c r="C342" s="51">
        <v>840102</v>
      </c>
      <c r="D342" s="40">
        <v>336</v>
      </c>
    </row>
    <row r="343" spans="1:4">
      <c r="A343" s="47">
        <v>840206</v>
      </c>
      <c r="B343" s="55" t="s">
        <v>524</v>
      </c>
      <c r="C343" s="51">
        <v>840206</v>
      </c>
      <c r="D343" s="40">
        <v>337</v>
      </c>
    </row>
    <row r="344" spans="1:4">
      <c r="A344" s="47">
        <v>840207</v>
      </c>
      <c r="B344" s="55" t="s">
        <v>525</v>
      </c>
      <c r="C344" s="51">
        <v>840207</v>
      </c>
      <c r="D344" s="40">
        <v>338</v>
      </c>
    </row>
    <row r="345" spans="1:4">
      <c r="A345" s="47">
        <v>840203</v>
      </c>
      <c r="B345" s="55" t="s">
        <v>526</v>
      </c>
      <c r="C345" s="51">
        <v>840203</v>
      </c>
      <c r="D345" s="40">
        <v>339</v>
      </c>
    </row>
    <row r="346" spans="1:4">
      <c r="A346" s="47">
        <v>840202</v>
      </c>
      <c r="B346" s="55" t="s">
        <v>527</v>
      </c>
      <c r="C346" s="51">
        <v>840202</v>
      </c>
      <c r="D346" s="40">
        <v>340</v>
      </c>
    </row>
    <row r="347" spans="1:4">
      <c r="A347" s="47">
        <v>860206</v>
      </c>
      <c r="B347" s="55" t="s">
        <v>528</v>
      </c>
      <c r="C347" s="51">
        <v>860206</v>
      </c>
      <c r="D347" s="40">
        <v>341</v>
      </c>
    </row>
    <row r="348" spans="1:4">
      <c r="A348" s="47">
        <v>740020</v>
      </c>
      <c r="B348" s="55" t="s">
        <v>529</v>
      </c>
      <c r="C348" s="51">
        <v>740020</v>
      </c>
      <c r="D348" s="40">
        <v>342</v>
      </c>
    </row>
    <row r="349" spans="1:4">
      <c r="A349" s="47">
        <v>740014</v>
      </c>
      <c r="B349" s="55" t="s">
        <v>530</v>
      </c>
      <c r="C349" s="51">
        <v>740014</v>
      </c>
      <c r="D349" s="40">
        <v>343</v>
      </c>
    </row>
    <row r="350" spans="1:4">
      <c r="A350" s="47">
        <v>740002</v>
      </c>
      <c r="B350" s="55" t="s">
        <v>531</v>
      </c>
      <c r="C350" s="51">
        <v>740002</v>
      </c>
      <c r="D350" s="40">
        <v>344</v>
      </c>
    </row>
    <row r="351" spans="1:4">
      <c r="A351" s="47">
        <v>740013</v>
      </c>
      <c r="B351" s="55" t="s">
        <v>532</v>
      </c>
      <c r="C351" s="51">
        <v>740013</v>
      </c>
      <c r="D351" s="40">
        <v>345</v>
      </c>
    </row>
    <row r="352" spans="1:4">
      <c r="A352" s="47">
        <v>634612</v>
      </c>
      <c r="B352" s="55" t="s">
        <v>533</v>
      </c>
      <c r="C352" s="51">
        <v>634612</v>
      </c>
      <c r="D352" s="40">
        <v>346</v>
      </c>
    </row>
    <row r="353" spans="1:4">
      <c r="A353" s="47">
        <v>630018</v>
      </c>
      <c r="B353" s="55" t="s">
        <v>534</v>
      </c>
      <c r="C353" s="51">
        <v>630018</v>
      </c>
      <c r="D353" s="40">
        <v>347</v>
      </c>
    </row>
    <row r="354" spans="1:4">
      <c r="A354" s="47">
        <v>630700</v>
      </c>
      <c r="B354" s="55" t="s">
        <v>535</v>
      </c>
      <c r="C354" s="51">
        <v>630700</v>
      </c>
      <c r="D354" s="40">
        <v>348</v>
      </c>
    </row>
    <row r="355" spans="1:4">
      <c r="A355" s="47">
        <v>630710</v>
      </c>
      <c r="B355" s="55" t="s">
        <v>536</v>
      </c>
      <c r="C355" s="51">
        <v>630710</v>
      </c>
      <c r="D355" s="40">
        <v>349</v>
      </c>
    </row>
    <row r="356" spans="1:4">
      <c r="A356" s="47">
        <v>630772</v>
      </c>
      <c r="B356" s="55" t="s">
        <v>537</v>
      </c>
      <c r="C356" s="51">
        <v>630772</v>
      </c>
      <c r="D356" s="40">
        <v>350</v>
      </c>
    </row>
    <row r="357" spans="1:4">
      <c r="A357" s="47">
        <v>633375</v>
      </c>
      <c r="B357" s="55" t="s">
        <v>538</v>
      </c>
      <c r="C357" s="51">
        <v>633375</v>
      </c>
      <c r="D357" s="40">
        <v>351</v>
      </c>
    </row>
    <row r="358" spans="1:4">
      <c r="A358" s="47">
        <v>634594</v>
      </c>
      <c r="B358" s="55" t="s">
        <v>539</v>
      </c>
      <c r="C358" s="51">
        <v>634594</v>
      </c>
      <c r="D358" s="40">
        <v>352</v>
      </c>
    </row>
    <row r="359" spans="1:4">
      <c r="A359" s="47">
        <v>630870</v>
      </c>
      <c r="B359" s="55" t="s">
        <v>540</v>
      </c>
      <c r="C359" s="51">
        <v>630870</v>
      </c>
      <c r="D359" s="40">
        <v>353</v>
      </c>
    </row>
    <row r="360" spans="1:4">
      <c r="A360" s="47">
        <v>630128</v>
      </c>
      <c r="B360" s="55" t="s">
        <v>541</v>
      </c>
      <c r="C360" s="51">
        <v>630128</v>
      </c>
      <c r="D360" s="40">
        <v>354</v>
      </c>
    </row>
    <row r="361" spans="1:4">
      <c r="A361" s="47">
        <v>630875</v>
      </c>
      <c r="B361" s="55" t="s">
        <v>542</v>
      </c>
      <c r="C361" s="51">
        <v>630875</v>
      </c>
      <c r="D361" s="40">
        <v>355</v>
      </c>
    </row>
    <row r="362" spans="1:4">
      <c r="A362" s="47">
        <v>630133</v>
      </c>
      <c r="B362" s="55" t="s">
        <v>543</v>
      </c>
      <c r="C362" s="51">
        <v>630133</v>
      </c>
      <c r="D362" s="40">
        <v>356</v>
      </c>
    </row>
    <row r="363" spans="1:4">
      <c r="A363" s="47">
        <v>630880</v>
      </c>
      <c r="B363" s="55" t="s">
        <v>544</v>
      </c>
      <c r="C363" s="51">
        <v>630880</v>
      </c>
      <c r="D363" s="40">
        <v>357</v>
      </c>
    </row>
    <row r="364" spans="1:4">
      <c r="A364" s="47">
        <v>630883</v>
      </c>
      <c r="B364" s="55" t="s">
        <v>545</v>
      </c>
      <c r="C364" s="51">
        <v>630883</v>
      </c>
      <c r="D364" s="40">
        <v>358</v>
      </c>
    </row>
    <row r="365" spans="1:4">
      <c r="A365" s="47">
        <v>630138</v>
      </c>
      <c r="B365" s="55" t="s">
        <v>546</v>
      </c>
      <c r="C365" s="51">
        <v>630138</v>
      </c>
      <c r="D365" s="40">
        <v>359</v>
      </c>
    </row>
    <row r="366" spans="1:4">
      <c r="A366" s="47">
        <v>630369</v>
      </c>
      <c r="B366" s="55" t="s">
        <v>547</v>
      </c>
      <c r="C366" s="51">
        <v>630369</v>
      </c>
      <c r="D366" s="40">
        <v>360</v>
      </c>
    </row>
    <row r="367" spans="1:4">
      <c r="A367" s="47">
        <v>633478</v>
      </c>
      <c r="B367" s="55" t="s">
        <v>548</v>
      </c>
      <c r="C367" s="51">
        <v>633478</v>
      </c>
      <c r="D367" s="40">
        <v>361</v>
      </c>
    </row>
    <row r="368" spans="1:4">
      <c r="A368" s="47">
        <v>634579</v>
      </c>
      <c r="B368" s="55" t="s">
        <v>549</v>
      </c>
      <c r="C368" s="51">
        <v>634579</v>
      </c>
      <c r="D368" s="40">
        <v>362</v>
      </c>
    </row>
    <row r="369" spans="1:4">
      <c r="A369" s="47">
        <v>633483</v>
      </c>
      <c r="B369" s="55" t="s">
        <v>550</v>
      </c>
      <c r="C369" s="51">
        <v>633483</v>
      </c>
      <c r="D369" s="40">
        <v>363</v>
      </c>
    </row>
    <row r="370" spans="1:4">
      <c r="A370" s="47">
        <v>630892</v>
      </c>
      <c r="B370" s="55" t="s">
        <v>551</v>
      </c>
      <c r="C370" s="51">
        <v>630892</v>
      </c>
      <c r="D370" s="40">
        <v>364</v>
      </c>
    </row>
    <row r="371" spans="1:4">
      <c r="A371" s="47">
        <v>633485</v>
      </c>
      <c r="B371" s="55" t="s">
        <v>552</v>
      </c>
      <c r="C371" s="51">
        <v>633485</v>
      </c>
      <c r="D371" s="40">
        <v>365</v>
      </c>
    </row>
    <row r="372" spans="1:4">
      <c r="A372" s="47">
        <v>630895</v>
      </c>
      <c r="B372" s="55" t="s">
        <v>553</v>
      </c>
      <c r="C372" s="51">
        <v>630895</v>
      </c>
      <c r="D372" s="40">
        <v>366</v>
      </c>
    </row>
    <row r="373" spans="1:4">
      <c r="A373" s="47">
        <v>633488</v>
      </c>
      <c r="B373" s="55" t="s">
        <v>554</v>
      </c>
      <c r="C373" s="51">
        <v>633488</v>
      </c>
      <c r="D373" s="40">
        <v>367</v>
      </c>
    </row>
    <row r="374" spans="1:4">
      <c r="A374" s="47">
        <v>634580</v>
      </c>
      <c r="B374" s="55" t="s">
        <v>555</v>
      </c>
      <c r="C374" s="51">
        <v>634580</v>
      </c>
      <c r="D374" s="40">
        <v>368</v>
      </c>
    </row>
    <row r="375" spans="1:4">
      <c r="A375" s="47">
        <v>630989</v>
      </c>
      <c r="B375" s="55" t="s">
        <v>556</v>
      </c>
      <c r="C375" s="51">
        <v>630989</v>
      </c>
      <c r="D375" s="40">
        <v>369</v>
      </c>
    </row>
    <row r="376" spans="1:4">
      <c r="A376" s="47">
        <v>631056</v>
      </c>
      <c r="B376" s="55" t="s">
        <v>557</v>
      </c>
      <c r="C376" s="51">
        <v>631056</v>
      </c>
      <c r="D376" s="40">
        <v>370</v>
      </c>
    </row>
    <row r="377" spans="1:4">
      <c r="A377" s="47">
        <v>631057</v>
      </c>
      <c r="B377" s="55" t="s">
        <v>558</v>
      </c>
      <c r="C377" s="51">
        <v>631057</v>
      </c>
      <c r="D377" s="40">
        <v>371</v>
      </c>
    </row>
    <row r="378" spans="1:4">
      <c r="A378" s="47">
        <v>630235</v>
      </c>
      <c r="B378" s="55" t="s">
        <v>559</v>
      </c>
      <c r="C378" s="51">
        <v>630235</v>
      </c>
      <c r="D378" s="40">
        <v>372</v>
      </c>
    </row>
    <row r="379" spans="1:4">
      <c r="A379" s="47">
        <v>633653</v>
      </c>
      <c r="B379" s="55" t="s">
        <v>560</v>
      </c>
      <c r="C379" s="51">
        <v>633653</v>
      </c>
      <c r="D379" s="40">
        <v>373</v>
      </c>
    </row>
    <row r="380" spans="1:4">
      <c r="A380" s="47">
        <v>631066</v>
      </c>
      <c r="B380" s="55" t="s">
        <v>561</v>
      </c>
      <c r="C380" s="51">
        <v>631066</v>
      </c>
      <c r="D380" s="40">
        <v>374</v>
      </c>
    </row>
    <row r="381" spans="1:4">
      <c r="A381" s="47">
        <v>633658</v>
      </c>
      <c r="B381" s="55" t="s">
        <v>562</v>
      </c>
      <c r="C381" s="51">
        <v>633658</v>
      </c>
      <c r="D381" s="40">
        <v>375</v>
      </c>
    </row>
    <row r="382" spans="1:4">
      <c r="A382" s="47">
        <v>631071</v>
      </c>
      <c r="B382" s="55" t="s">
        <v>563</v>
      </c>
      <c r="C382" s="51">
        <v>631071</v>
      </c>
      <c r="D382" s="40">
        <v>376</v>
      </c>
    </row>
    <row r="383" spans="1:4">
      <c r="A383" s="47">
        <v>633663</v>
      </c>
      <c r="B383" s="55" t="s">
        <v>564</v>
      </c>
      <c r="C383" s="51">
        <v>633663</v>
      </c>
      <c r="D383" s="40">
        <v>377</v>
      </c>
    </row>
    <row r="384" spans="1:4">
      <c r="A384" s="47">
        <v>633673</v>
      </c>
      <c r="B384" s="55" t="s">
        <v>565</v>
      </c>
      <c r="C384" s="51">
        <v>633673</v>
      </c>
      <c r="D384" s="40">
        <v>378</v>
      </c>
    </row>
    <row r="385" spans="1:4">
      <c r="A385" s="47">
        <v>633802</v>
      </c>
      <c r="B385" s="55" t="s">
        <v>566</v>
      </c>
      <c r="C385" s="51">
        <v>633802</v>
      </c>
      <c r="D385" s="40">
        <v>379</v>
      </c>
    </row>
    <row r="386" spans="1:4">
      <c r="A386" s="47">
        <v>633812</v>
      </c>
      <c r="B386" s="55" t="s">
        <v>567</v>
      </c>
      <c r="C386" s="51">
        <v>633812</v>
      </c>
      <c r="D386" s="40">
        <v>380</v>
      </c>
    </row>
    <row r="387" spans="1:4">
      <c r="A387" s="47">
        <v>633825</v>
      </c>
      <c r="B387" s="55" t="s">
        <v>568</v>
      </c>
      <c r="C387" s="51">
        <v>633825</v>
      </c>
      <c r="D387" s="40">
        <v>381</v>
      </c>
    </row>
    <row r="388" spans="1:4">
      <c r="A388" s="47">
        <v>631236</v>
      </c>
      <c r="B388" s="55" t="s">
        <v>569</v>
      </c>
      <c r="C388" s="51">
        <v>631236</v>
      </c>
      <c r="D388" s="40">
        <v>382</v>
      </c>
    </row>
    <row r="389" spans="1:4">
      <c r="A389" s="47">
        <v>634601</v>
      </c>
      <c r="B389" s="55" t="s">
        <v>570</v>
      </c>
      <c r="C389" s="51">
        <v>634601</v>
      </c>
      <c r="D389" s="40">
        <v>383</v>
      </c>
    </row>
    <row r="390" spans="1:4">
      <c r="A390" s="47">
        <v>631246</v>
      </c>
      <c r="B390" s="55" t="s">
        <v>571</v>
      </c>
      <c r="C390" s="51">
        <v>631246</v>
      </c>
      <c r="D390" s="40">
        <v>384</v>
      </c>
    </row>
    <row r="391" spans="1:4">
      <c r="A391" s="47">
        <v>633838</v>
      </c>
      <c r="B391" s="55" t="s">
        <v>572</v>
      </c>
      <c r="C391" s="51">
        <v>633838</v>
      </c>
      <c r="D391" s="40">
        <v>385</v>
      </c>
    </row>
    <row r="392" spans="1:4">
      <c r="A392" s="47">
        <v>634599</v>
      </c>
      <c r="B392" s="55" t="s">
        <v>573</v>
      </c>
      <c r="C392" s="51">
        <v>634599</v>
      </c>
      <c r="D392" s="40">
        <v>386</v>
      </c>
    </row>
    <row r="393" spans="1:4">
      <c r="A393" s="47">
        <v>634600</v>
      </c>
      <c r="B393" s="55" t="s">
        <v>573</v>
      </c>
      <c r="C393" s="51">
        <v>634600</v>
      </c>
      <c r="D393" s="40">
        <v>387</v>
      </c>
    </row>
    <row r="394" spans="1:4">
      <c r="A394" s="47">
        <v>634018</v>
      </c>
      <c r="B394" s="55" t="s">
        <v>574</v>
      </c>
      <c r="C394" s="51">
        <v>634018</v>
      </c>
      <c r="D394" s="40">
        <v>388</v>
      </c>
    </row>
    <row r="395" spans="1:4">
      <c r="A395" s="47">
        <v>634126</v>
      </c>
      <c r="B395" s="55" t="s">
        <v>575</v>
      </c>
      <c r="C395" s="51">
        <v>634126</v>
      </c>
      <c r="D395" s="40">
        <v>389</v>
      </c>
    </row>
    <row r="396" spans="1:4">
      <c r="A396" s="47">
        <v>634581</v>
      </c>
      <c r="B396" s="55" t="s">
        <v>576</v>
      </c>
      <c r="C396" s="51">
        <v>634581</v>
      </c>
      <c r="D396" s="40">
        <v>390</v>
      </c>
    </row>
    <row r="397" spans="1:4">
      <c r="A397" s="47">
        <v>634607</v>
      </c>
      <c r="B397" s="55" t="s">
        <v>577</v>
      </c>
      <c r="C397" s="51">
        <v>634607</v>
      </c>
      <c r="D397" s="40">
        <v>391</v>
      </c>
    </row>
    <row r="398" spans="1:4">
      <c r="A398" s="47">
        <v>634595</v>
      </c>
      <c r="B398" s="55" t="s">
        <v>578</v>
      </c>
      <c r="C398" s="51">
        <v>634595</v>
      </c>
      <c r="D398" s="40">
        <v>392</v>
      </c>
    </row>
    <row r="399" spans="1:4">
      <c r="A399" s="47">
        <v>634605</v>
      </c>
      <c r="B399" s="55" t="s">
        <v>579</v>
      </c>
      <c r="C399" s="51">
        <v>634605</v>
      </c>
      <c r="D399" s="40">
        <v>393</v>
      </c>
    </row>
    <row r="400" spans="1:4">
      <c r="A400" s="47">
        <v>634608</v>
      </c>
      <c r="B400" s="55" t="s">
        <v>580</v>
      </c>
      <c r="C400" s="51">
        <v>634608</v>
      </c>
      <c r="D400" s="40">
        <v>394</v>
      </c>
    </row>
    <row r="401" spans="1:4">
      <c r="A401" s="47">
        <v>634590</v>
      </c>
      <c r="B401" s="55" t="s">
        <v>581</v>
      </c>
      <c r="C401" s="51">
        <v>634590</v>
      </c>
      <c r="D401" s="40">
        <v>395</v>
      </c>
    </row>
    <row r="402" spans="1:4">
      <c r="A402" s="47">
        <v>634596</v>
      </c>
      <c r="B402" s="55" t="s">
        <v>582</v>
      </c>
      <c r="C402" s="51">
        <v>634596</v>
      </c>
      <c r="D402" s="40">
        <v>396</v>
      </c>
    </row>
    <row r="403" spans="1:4">
      <c r="A403" s="47">
        <v>634604</v>
      </c>
      <c r="B403" s="55" t="s">
        <v>583</v>
      </c>
      <c r="C403" s="51">
        <v>634604</v>
      </c>
      <c r="D403" s="40">
        <v>397</v>
      </c>
    </row>
    <row r="404" spans="1:4">
      <c r="A404" s="47">
        <v>634602</v>
      </c>
      <c r="B404" s="55" t="s">
        <v>584</v>
      </c>
      <c r="C404" s="51">
        <v>634602</v>
      </c>
      <c r="D404" s="40">
        <v>398</v>
      </c>
    </row>
    <row r="405" spans="1:4">
      <c r="A405" s="47">
        <v>634610</v>
      </c>
      <c r="B405" s="55" t="s">
        <v>585</v>
      </c>
      <c r="C405" s="51">
        <v>634610</v>
      </c>
      <c r="D405" s="40">
        <v>399</v>
      </c>
    </row>
    <row r="406" spans="1:4">
      <c r="A406" s="47">
        <v>634583</v>
      </c>
      <c r="B406" s="55" t="s">
        <v>586</v>
      </c>
      <c r="C406" s="51">
        <v>634583</v>
      </c>
      <c r="D406" s="40">
        <v>400</v>
      </c>
    </row>
    <row r="407" spans="1:4">
      <c r="A407" s="47">
        <v>634582</v>
      </c>
      <c r="B407" s="55" t="s">
        <v>587</v>
      </c>
      <c r="C407" s="51">
        <v>634582</v>
      </c>
      <c r="D407" s="40">
        <v>401</v>
      </c>
    </row>
    <row r="408" spans="1:4">
      <c r="A408" s="47">
        <v>624602</v>
      </c>
      <c r="B408" s="55" t="s">
        <v>588</v>
      </c>
      <c r="C408" s="51">
        <v>624602</v>
      </c>
      <c r="D408" s="40">
        <v>402</v>
      </c>
    </row>
    <row r="409" spans="1:4">
      <c r="A409" s="47">
        <v>624597</v>
      </c>
      <c r="B409" s="55" t="s">
        <v>589</v>
      </c>
      <c r="C409" s="51">
        <v>624597</v>
      </c>
      <c r="D409" s="40">
        <v>403</v>
      </c>
    </row>
    <row r="410" spans="1:4">
      <c r="A410" s="47">
        <v>624607</v>
      </c>
      <c r="B410" s="55" t="s">
        <v>590</v>
      </c>
      <c r="C410" s="51">
        <v>624607</v>
      </c>
      <c r="D410" s="40">
        <v>404</v>
      </c>
    </row>
    <row r="411" spans="1:4">
      <c r="A411" s="47">
        <v>624606</v>
      </c>
      <c r="B411" s="55" t="s">
        <v>591</v>
      </c>
      <c r="C411" s="51">
        <v>624606</v>
      </c>
      <c r="D411" s="40">
        <v>405</v>
      </c>
    </row>
    <row r="412" spans="1:4">
      <c r="A412" s="47">
        <v>624608</v>
      </c>
      <c r="B412" s="55" t="s">
        <v>592</v>
      </c>
      <c r="C412" s="51">
        <v>624608</v>
      </c>
      <c r="D412" s="40">
        <v>406</v>
      </c>
    </row>
    <row r="413" spans="1:4">
      <c r="A413" s="47">
        <v>624587</v>
      </c>
      <c r="B413" s="55" t="s">
        <v>593</v>
      </c>
      <c r="C413" s="51">
        <v>624587</v>
      </c>
      <c r="D413" s="40">
        <v>407</v>
      </c>
    </row>
    <row r="414" spans="1:4">
      <c r="A414" s="47">
        <v>624604</v>
      </c>
      <c r="B414" s="55" t="s">
        <v>594</v>
      </c>
      <c r="C414" s="51">
        <v>624604</v>
      </c>
      <c r="D414" s="40">
        <v>408</v>
      </c>
    </row>
    <row r="415" spans="1:4">
      <c r="A415" s="47">
        <v>624603</v>
      </c>
      <c r="B415" s="55" t="s">
        <v>595</v>
      </c>
      <c r="C415" s="51">
        <v>624603</v>
      </c>
      <c r="D415" s="40">
        <v>409</v>
      </c>
    </row>
    <row r="416" spans="1:4">
      <c r="A416" s="47">
        <v>624630</v>
      </c>
      <c r="B416" s="55" t="s">
        <v>596</v>
      </c>
      <c r="C416" s="51">
        <v>624630</v>
      </c>
      <c r="D416" s="40">
        <v>410</v>
      </c>
    </row>
    <row r="417" spans="1:4">
      <c r="A417" s="47">
        <v>620003</v>
      </c>
      <c r="B417" s="55" t="s">
        <v>597</v>
      </c>
      <c r="C417" s="51">
        <v>620003</v>
      </c>
      <c r="D417" s="40">
        <v>411</v>
      </c>
    </row>
    <row r="418" spans="1:4">
      <c r="A418" s="47">
        <v>620015</v>
      </c>
      <c r="B418" s="55" t="s">
        <v>598</v>
      </c>
      <c r="C418" s="51">
        <v>620015</v>
      </c>
      <c r="D418" s="40">
        <v>412</v>
      </c>
    </row>
    <row r="419" spans="1:4">
      <c r="A419" s="47">
        <v>620016</v>
      </c>
      <c r="B419" s="55" t="s">
        <v>599</v>
      </c>
      <c r="C419" s="51">
        <v>620016</v>
      </c>
      <c r="D419" s="40">
        <v>413</v>
      </c>
    </row>
    <row r="420" spans="1:4">
      <c r="A420" s="47">
        <v>624605</v>
      </c>
      <c r="B420" s="55" t="s">
        <v>600</v>
      </c>
      <c r="C420" s="51">
        <v>624605</v>
      </c>
      <c r="D420" s="40">
        <v>414</v>
      </c>
    </row>
    <row r="421" spans="1:4">
      <c r="A421" s="47">
        <v>624599</v>
      </c>
      <c r="B421" s="55" t="s">
        <v>601</v>
      </c>
      <c r="C421" s="51">
        <v>624599</v>
      </c>
      <c r="D421" s="40">
        <v>415</v>
      </c>
    </row>
    <row r="422" spans="1:4">
      <c r="A422" s="47">
        <v>624595</v>
      </c>
      <c r="B422" s="55" t="s">
        <v>602</v>
      </c>
      <c r="C422" s="51">
        <v>624595</v>
      </c>
      <c r="D422" s="40">
        <v>416</v>
      </c>
    </row>
    <row r="423" spans="1:4">
      <c r="A423" s="47">
        <v>624600</v>
      </c>
      <c r="B423" s="55" t="s">
        <v>603</v>
      </c>
      <c r="C423" s="51">
        <v>624600</v>
      </c>
      <c r="D423" s="40">
        <v>417</v>
      </c>
    </row>
    <row r="424" spans="1:4">
      <c r="A424" s="47">
        <v>624609</v>
      </c>
      <c r="B424" s="55" t="s">
        <v>604</v>
      </c>
      <c r="C424" s="51">
        <v>624609</v>
      </c>
      <c r="D424" s="40">
        <v>418</v>
      </c>
    </row>
    <row r="425" spans="1:4">
      <c r="A425" s="47">
        <v>624601</v>
      </c>
      <c r="B425" s="55" t="s">
        <v>605</v>
      </c>
      <c r="C425" s="51">
        <v>624601</v>
      </c>
      <c r="D425" s="40">
        <v>419</v>
      </c>
    </row>
    <row r="426" spans="1:4">
      <c r="A426" s="47">
        <v>620005</v>
      </c>
      <c r="B426" s="55" t="s">
        <v>606</v>
      </c>
      <c r="C426" s="51">
        <v>620005</v>
      </c>
      <c r="D426" s="40">
        <v>420</v>
      </c>
    </row>
    <row r="427" spans="1:4">
      <c r="A427" s="47">
        <v>624611</v>
      </c>
      <c r="B427" s="55" t="s">
        <v>607</v>
      </c>
      <c r="C427" s="51">
        <v>624611</v>
      </c>
      <c r="D427" s="40">
        <v>421</v>
      </c>
    </row>
    <row r="428" spans="1:4">
      <c r="A428" s="47">
        <v>624610</v>
      </c>
      <c r="B428" s="55" t="s">
        <v>608</v>
      </c>
      <c r="C428" s="51">
        <v>624610</v>
      </c>
      <c r="D428" s="40">
        <v>422</v>
      </c>
    </row>
    <row r="429" spans="1:4">
      <c r="A429" s="47">
        <v>624612</v>
      </c>
      <c r="B429" s="55" t="s">
        <v>609</v>
      </c>
      <c r="C429" s="51">
        <v>624612</v>
      </c>
      <c r="D429" s="40">
        <v>423</v>
      </c>
    </row>
    <row r="430" spans="1:4">
      <c r="A430" s="47">
        <v>624596</v>
      </c>
      <c r="B430" s="55" t="s">
        <v>610</v>
      </c>
      <c r="C430" s="51">
        <v>624596</v>
      </c>
      <c r="D430" s="40">
        <v>424</v>
      </c>
    </row>
    <row r="431" spans="1:4">
      <c r="A431" s="47">
        <v>624588</v>
      </c>
      <c r="B431" s="55" t="s">
        <v>611</v>
      </c>
      <c r="C431" s="51">
        <v>624588</v>
      </c>
      <c r="D431" s="40">
        <v>425</v>
      </c>
    </row>
    <row r="432" spans="1:4">
      <c r="A432" s="47">
        <v>620019</v>
      </c>
      <c r="B432" s="55" t="s">
        <v>612</v>
      </c>
      <c r="C432" s="51">
        <v>620019</v>
      </c>
      <c r="D432" s="40">
        <v>426</v>
      </c>
    </row>
    <row r="433" spans="1:4">
      <c r="A433" s="47">
        <v>624589</v>
      </c>
      <c r="B433" s="55" t="s">
        <v>613</v>
      </c>
      <c r="C433" s="51">
        <v>624589</v>
      </c>
      <c r="D433" s="40">
        <v>427</v>
      </c>
    </row>
    <row r="434" spans="1:4">
      <c r="A434" s="47">
        <v>624590</v>
      </c>
      <c r="B434" s="55" t="s">
        <v>614</v>
      </c>
      <c r="C434" s="51">
        <v>624590</v>
      </c>
      <c r="D434" s="40">
        <v>428</v>
      </c>
    </row>
    <row r="435" spans="1:4">
      <c r="A435" s="47">
        <v>620043</v>
      </c>
      <c r="B435" s="55" t="s">
        <v>615</v>
      </c>
      <c r="C435" s="51">
        <v>620043</v>
      </c>
      <c r="D435" s="40">
        <v>429</v>
      </c>
    </row>
    <row r="436" spans="1:4">
      <c r="A436" s="47">
        <v>624614</v>
      </c>
      <c r="B436" s="55" t="s">
        <v>616</v>
      </c>
      <c r="C436" s="51">
        <v>624614</v>
      </c>
      <c r="D436" s="40">
        <v>430</v>
      </c>
    </row>
    <row r="437" spans="1:4">
      <c r="A437" s="47">
        <v>620060</v>
      </c>
      <c r="B437" s="55" t="s">
        <v>617</v>
      </c>
      <c r="C437" s="51">
        <v>620060</v>
      </c>
      <c r="D437" s="40">
        <v>431</v>
      </c>
    </row>
    <row r="438" spans="1:4">
      <c r="A438" s="47">
        <v>620062</v>
      </c>
      <c r="B438" s="55" t="s">
        <v>618</v>
      </c>
      <c r="C438" s="51">
        <v>620062</v>
      </c>
      <c r="D438" s="40">
        <v>432</v>
      </c>
    </row>
    <row r="439" spans="1:4">
      <c r="A439" s="47">
        <v>624578</v>
      </c>
      <c r="B439" s="55" t="s">
        <v>619</v>
      </c>
      <c r="C439" s="51">
        <v>624578</v>
      </c>
      <c r="D439" s="40">
        <v>433</v>
      </c>
    </row>
    <row r="440" spans="1:4">
      <c r="A440" s="47">
        <v>624594</v>
      </c>
      <c r="B440" s="55" t="s">
        <v>620</v>
      </c>
      <c r="C440" s="51">
        <v>624594</v>
      </c>
      <c r="D440" s="40">
        <v>434</v>
      </c>
    </row>
    <row r="441" spans="1:4">
      <c r="A441" s="47">
        <v>620870</v>
      </c>
      <c r="B441" s="55" t="s">
        <v>621</v>
      </c>
      <c r="C441" s="51">
        <v>620870</v>
      </c>
      <c r="D441" s="40">
        <v>435</v>
      </c>
    </row>
    <row r="442" spans="1:4">
      <c r="A442" s="47">
        <v>620125</v>
      </c>
      <c r="B442" s="55" t="s">
        <v>622</v>
      </c>
      <c r="C442" s="51">
        <v>620125</v>
      </c>
      <c r="D442" s="40">
        <v>436</v>
      </c>
    </row>
    <row r="443" spans="1:4">
      <c r="A443" s="47">
        <v>620128</v>
      </c>
      <c r="B443" s="55" t="s">
        <v>623</v>
      </c>
      <c r="C443" s="51">
        <v>620128</v>
      </c>
      <c r="D443" s="40">
        <v>437</v>
      </c>
    </row>
    <row r="444" spans="1:4">
      <c r="A444" s="47">
        <v>620875</v>
      </c>
      <c r="B444" s="55" t="s">
        <v>624</v>
      </c>
      <c r="C444" s="51">
        <v>620875</v>
      </c>
      <c r="D444" s="40">
        <v>438</v>
      </c>
    </row>
    <row r="445" spans="1:4">
      <c r="A445" s="47">
        <v>624688</v>
      </c>
      <c r="B445" s="55" t="s">
        <v>625</v>
      </c>
      <c r="C445" s="51">
        <v>624688</v>
      </c>
      <c r="D445" s="40">
        <v>439</v>
      </c>
    </row>
    <row r="446" spans="1:4">
      <c r="A446" s="47">
        <v>624593</v>
      </c>
      <c r="B446" s="55" t="s">
        <v>626</v>
      </c>
      <c r="C446" s="51">
        <v>624593</v>
      </c>
      <c r="D446" s="40">
        <v>440</v>
      </c>
    </row>
    <row r="447" spans="1:4">
      <c r="A447" s="47">
        <v>624586</v>
      </c>
      <c r="B447" s="55" t="s">
        <v>627</v>
      </c>
      <c r="C447" s="51">
        <v>624586</v>
      </c>
      <c r="D447" s="40">
        <v>441</v>
      </c>
    </row>
    <row r="448" spans="1:4">
      <c r="A448" s="47">
        <v>620186</v>
      </c>
      <c r="B448" s="55" t="s">
        <v>628</v>
      </c>
      <c r="C448" s="51">
        <v>620186</v>
      </c>
      <c r="D448" s="40">
        <v>442</v>
      </c>
    </row>
    <row r="449" spans="1:4">
      <c r="A449" s="47">
        <v>624616</v>
      </c>
      <c r="B449" s="55" t="s">
        <v>629</v>
      </c>
      <c r="C449" s="51">
        <v>624616</v>
      </c>
      <c r="D449" s="40">
        <v>443</v>
      </c>
    </row>
    <row r="450" spans="1:4">
      <c r="A450" s="47">
        <v>620228</v>
      </c>
      <c r="B450" s="55" t="s">
        <v>630</v>
      </c>
      <c r="C450" s="51">
        <v>620228</v>
      </c>
      <c r="D450" s="40">
        <v>444</v>
      </c>
    </row>
    <row r="451" spans="1:4">
      <c r="A451" s="47">
        <v>621050</v>
      </c>
      <c r="B451" s="55" t="s">
        <v>631</v>
      </c>
      <c r="C451" s="51">
        <v>621050</v>
      </c>
      <c r="D451" s="40">
        <v>445</v>
      </c>
    </row>
    <row r="452" spans="1:4">
      <c r="A452" s="47">
        <v>621052</v>
      </c>
      <c r="B452" s="55" t="s">
        <v>632</v>
      </c>
      <c r="C452" s="51">
        <v>621052</v>
      </c>
      <c r="D452" s="40">
        <v>446</v>
      </c>
    </row>
    <row r="453" spans="1:4">
      <c r="A453" s="47">
        <v>620232</v>
      </c>
      <c r="B453" s="55" t="s">
        <v>633</v>
      </c>
      <c r="C453" s="51">
        <v>620232</v>
      </c>
      <c r="D453" s="40">
        <v>447</v>
      </c>
    </row>
    <row r="454" spans="1:4">
      <c r="A454" s="47">
        <v>621054</v>
      </c>
      <c r="B454" s="55" t="s">
        <v>634</v>
      </c>
      <c r="C454" s="51">
        <v>621054</v>
      </c>
      <c r="D454" s="40">
        <v>448</v>
      </c>
    </row>
    <row r="455" spans="1:4">
      <c r="A455" s="47">
        <v>620233</v>
      </c>
      <c r="B455" s="55" t="s">
        <v>635</v>
      </c>
      <c r="C455" s="51">
        <v>620233</v>
      </c>
      <c r="D455" s="40">
        <v>449</v>
      </c>
    </row>
    <row r="456" spans="1:4">
      <c r="A456" s="47">
        <v>621055</v>
      </c>
      <c r="B456" s="55" t="s">
        <v>636</v>
      </c>
      <c r="C456" s="51">
        <v>621055</v>
      </c>
      <c r="D456" s="40">
        <v>450</v>
      </c>
    </row>
    <row r="457" spans="1:4">
      <c r="A457" s="47">
        <v>621057</v>
      </c>
      <c r="B457" s="55" t="s">
        <v>637</v>
      </c>
      <c r="C457" s="51">
        <v>621057</v>
      </c>
      <c r="D457" s="40">
        <v>451</v>
      </c>
    </row>
    <row r="458" spans="1:4">
      <c r="A458" s="47">
        <v>621058</v>
      </c>
      <c r="B458" s="55" t="s">
        <v>638</v>
      </c>
      <c r="C458" s="51">
        <v>621058</v>
      </c>
      <c r="D458" s="40">
        <v>452</v>
      </c>
    </row>
    <row r="459" spans="1:4">
      <c r="A459" s="47">
        <v>620238</v>
      </c>
      <c r="B459" s="55" t="s">
        <v>639</v>
      </c>
      <c r="C459" s="51">
        <v>620238</v>
      </c>
      <c r="D459" s="40">
        <v>453</v>
      </c>
    </row>
    <row r="460" spans="1:4">
      <c r="A460" s="47">
        <v>620469</v>
      </c>
      <c r="B460" s="55" t="s">
        <v>640</v>
      </c>
      <c r="C460" s="51">
        <v>620469</v>
      </c>
      <c r="D460" s="40">
        <v>454</v>
      </c>
    </row>
    <row r="461" spans="1:4">
      <c r="A461" s="47">
        <v>621060</v>
      </c>
      <c r="B461" s="55" t="s">
        <v>641</v>
      </c>
      <c r="C461" s="51">
        <v>621060</v>
      </c>
      <c r="D461" s="40">
        <v>455</v>
      </c>
    </row>
    <row r="462" spans="1:4">
      <c r="A462" s="47">
        <v>623652</v>
      </c>
      <c r="B462" s="55" t="s">
        <v>642</v>
      </c>
      <c r="C462" s="51">
        <v>623652</v>
      </c>
      <c r="D462" s="40">
        <v>456</v>
      </c>
    </row>
    <row r="463" spans="1:4">
      <c r="A463" s="47">
        <v>620239</v>
      </c>
      <c r="B463" s="55" t="s">
        <v>643</v>
      </c>
      <c r="C463" s="51">
        <v>620239</v>
      </c>
      <c r="D463" s="40">
        <v>457</v>
      </c>
    </row>
    <row r="464" spans="1:4">
      <c r="A464" s="47">
        <v>621062</v>
      </c>
      <c r="B464" s="55" t="s">
        <v>644</v>
      </c>
      <c r="C464" s="51">
        <v>621062</v>
      </c>
      <c r="D464" s="40">
        <v>458</v>
      </c>
    </row>
    <row r="465" spans="1:4">
      <c r="A465" s="47">
        <v>621070</v>
      </c>
      <c r="B465" s="55" t="s">
        <v>645</v>
      </c>
      <c r="C465" s="51">
        <v>621070</v>
      </c>
      <c r="D465" s="40">
        <v>459</v>
      </c>
    </row>
    <row r="466" spans="1:4">
      <c r="A466" s="47">
        <v>621072</v>
      </c>
      <c r="B466" s="55" t="s">
        <v>646</v>
      </c>
      <c r="C466" s="51">
        <v>621072</v>
      </c>
      <c r="D466" s="40">
        <v>460</v>
      </c>
    </row>
    <row r="467" spans="1:4">
      <c r="A467" s="47">
        <v>621166</v>
      </c>
      <c r="B467" s="55" t="s">
        <v>647</v>
      </c>
      <c r="C467" s="51">
        <v>621166</v>
      </c>
      <c r="D467" s="40">
        <v>461</v>
      </c>
    </row>
    <row r="468" spans="1:4">
      <c r="A468" s="47">
        <v>624592</v>
      </c>
      <c r="B468" s="55" t="s">
        <v>648</v>
      </c>
      <c r="C468" s="51">
        <v>624592</v>
      </c>
      <c r="D468" s="40">
        <v>462</v>
      </c>
    </row>
    <row r="469" spans="1:4">
      <c r="A469" s="47">
        <v>624591</v>
      </c>
      <c r="B469" s="55" t="s">
        <v>649</v>
      </c>
      <c r="C469" s="51">
        <v>624591</v>
      </c>
      <c r="D469" s="40">
        <v>463</v>
      </c>
    </row>
    <row r="470" spans="1:4">
      <c r="A470" s="47">
        <v>621230</v>
      </c>
      <c r="B470" s="55" t="s">
        <v>650</v>
      </c>
      <c r="C470" s="51">
        <v>621230</v>
      </c>
      <c r="D470" s="40">
        <v>464</v>
      </c>
    </row>
    <row r="471" spans="1:4">
      <c r="A471" s="47">
        <v>621235</v>
      </c>
      <c r="B471" s="55" t="s">
        <v>651</v>
      </c>
      <c r="C471" s="51">
        <v>621235</v>
      </c>
      <c r="D471" s="40">
        <v>465</v>
      </c>
    </row>
    <row r="472" spans="1:4">
      <c r="A472" s="47">
        <v>621238</v>
      </c>
      <c r="B472" s="55" t="s">
        <v>652</v>
      </c>
      <c r="C472" s="51">
        <v>621238</v>
      </c>
      <c r="D472" s="40">
        <v>466</v>
      </c>
    </row>
    <row r="473" spans="1:4">
      <c r="A473" s="47">
        <v>621240</v>
      </c>
      <c r="B473" s="55" t="s">
        <v>653</v>
      </c>
      <c r="C473" s="51">
        <v>621240</v>
      </c>
      <c r="D473" s="40">
        <v>467</v>
      </c>
    </row>
    <row r="474" spans="1:4">
      <c r="A474" s="47">
        <v>623832</v>
      </c>
      <c r="B474" s="55" t="s">
        <v>654</v>
      </c>
      <c r="C474" s="51">
        <v>623832</v>
      </c>
      <c r="D474" s="40">
        <v>468</v>
      </c>
    </row>
    <row r="475" spans="1:4">
      <c r="A475" s="47">
        <v>624628</v>
      </c>
      <c r="B475" s="55" t="s">
        <v>655</v>
      </c>
      <c r="C475" s="51">
        <v>624628</v>
      </c>
      <c r="D475" s="40">
        <v>469</v>
      </c>
    </row>
    <row r="476" spans="1:4">
      <c r="A476" s="47">
        <v>622652</v>
      </c>
      <c r="B476" s="55" t="s">
        <v>656</v>
      </c>
      <c r="C476" s="51">
        <v>622652</v>
      </c>
      <c r="D476" s="40">
        <v>470</v>
      </c>
    </row>
    <row r="477" spans="1:4">
      <c r="A477" s="47">
        <v>621410</v>
      </c>
      <c r="B477" s="55" t="s">
        <v>657</v>
      </c>
      <c r="C477" s="51">
        <v>621410</v>
      </c>
      <c r="D477" s="40">
        <v>471</v>
      </c>
    </row>
    <row r="478" spans="1:4">
      <c r="A478" s="47">
        <v>621411</v>
      </c>
      <c r="B478" s="55" t="s">
        <v>658</v>
      </c>
      <c r="C478" s="51">
        <v>621411</v>
      </c>
      <c r="D478" s="40">
        <v>472</v>
      </c>
    </row>
    <row r="479" spans="1:4">
      <c r="A479" s="47">
        <v>624598</v>
      </c>
      <c r="B479" s="55" t="s">
        <v>659</v>
      </c>
      <c r="C479" s="51">
        <v>624598</v>
      </c>
      <c r="D479" s="40">
        <v>473</v>
      </c>
    </row>
    <row r="480" spans="1:4">
      <c r="A480" s="47">
        <v>624613</v>
      </c>
      <c r="B480" s="55" t="s">
        <v>660</v>
      </c>
      <c r="C480" s="51">
        <v>624613</v>
      </c>
      <c r="D480" s="40">
        <v>474</v>
      </c>
    </row>
    <row r="481" spans="1:4">
      <c r="A481" s="47">
        <v>621417</v>
      </c>
      <c r="B481" s="55" t="s">
        <v>661</v>
      </c>
      <c r="C481" s="51">
        <v>621417</v>
      </c>
      <c r="D481" s="40">
        <v>475</v>
      </c>
    </row>
    <row r="482" spans="1:4">
      <c r="A482" s="47">
        <v>621420</v>
      </c>
      <c r="B482" s="55" t="s">
        <v>662</v>
      </c>
      <c r="C482" s="51">
        <v>621420</v>
      </c>
      <c r="D482" s="40">
        <v>476</v>
      </c>
    </row>
    <row r="483" spans="1:4">
      <c r="A483" s="47">
        <v>624012</v>
      </c>
      <c r="B483" s="55" t="s">
        <v>663</v>
      </c>
      <c r="C483" s="51">
        <v>624012</v>
      </c>
      <c r="D483" s="40">
        <v>477</v>
      </c>
    </row>
    <row r="484" spans="1:4">
      <c r="A484" s="47">
        <v>621421</v>
      </c>
      <c r="B484" s="55" t="s">
        <v>664</v>
      </c>
      <c r="C484" s="51">
        <v>621421</v>
      </c>
      <c r="D484" s="40">
        <v>478</v>
      </c>
    </row>
    <row r="485" spans="1:4">
      <c r="A485" s="47">
        <v>624615</v>
      </c>
      <c r="B485" s="55" t="s">
        <v>665</v>
      </c>
      <c r="C485" s="51">
        <v>624615</v>
      </c>
      <c r="D485" s="40">
        <v>479</v>
      </c>
    </row>
    <row r="486" spans="1:4">
      <c r="A486" s="47">
        <v>621422</v>
      </c>
      <c r="B486" s="55" t="s">
        <v>666</v>
      </c>
      <c r="C486" s="51">
        <v>621422</v>
      </c>
      <c r="D486" s="40">
        <v>480</v>
      </c>
    </row>
    <row r="487" spans="1:4">
      <c r="A487" s="47">
        <v>621425</v>
      </c>
      <c r="B487" s="55" t="s">
        <v>667</v>
      </c>
      <c r="C487" s="51">
        <v>621425</v>
      </c>
      <c r="D487" s="40">
        <v>481</v>
      </c>
    </row>
    <row r="488" spans="1:4">
      <c r="A488" s="47">
        <v>624618</v>
      </c>
      <c r="B488" s="55" t="s">
        <v>668</v>
      </c>
      <c r="C488" s="51">
        <v>624618</v>
      </c>
      <c r="D488" s="40">
        <v>482</v>
      </c>
    </row>
    <row r="489" spans="1:4">
      <c r="A489" s="47">
        <v>621482</v>
      </c>
      <c r="B489" s="55" t="s">
        <v>669</v>
      </c>
      <c r="C489" s="51">
        <v>621482</v>
      </c>
      <c r="D489" s="40">
        <v>483</v>
      </c>
    </row>
    <row r="490" spans="1:4">
      <c r="A490" s="47">
        <v>624081</v>
      </c>
      <c r="B490" s="55" t="s">
        <v>670</v>
      </c>
      <c r="C490" s="51">
        <v>624081</v>
      </c>
      <c r="D490" s="40">
        <v>484</v>
      </c>
    </row>
    <row r="491" spans="1:4">
      <c r="A491" s="47">
        <v>624084</v>
      </c>
      <c r="B491" s="55" t="s">
        <v>671</v>
      </c>
      <c r="C491" s="51">
        <v>624084</v>
      </c>
      <c r="D491" s="40">
        <v>485</v>
      </c>
    </row>
    <row r="492" spans="1:4">
      <c r="A492" s="47">
        <v>621504</v>
      </c>
      <c r="B492" s="55" t="s">
        <v>672</v>
      </c>
      <c r="C492" s="51">
        <v>621504</v>
      </c>
      <c r="D492" s="40">
        <v>486</v>
      </c>
    </row>
    <row r="493" spans="1:4">
      <c r="A493" s="47">
        <v>621595</v>
      </c>
      <c r="B493" s="55" t="s">
        <v>673</v>
      </c>
      <c r="C493" s="51">
        <v>621595</v>
      </c>
      <c r="D493" s="40">
        <v>487</v>
      </c>
    </row>
    <row r="494" spans="1:4">
      <c r="A494" s="47">
        <v>624192</v>
      </c>
      <c r="B494" s="55" t="s">
        <v>674</v>
      </c>
      <c r="C494" s="51">
        <v>624192</v>
      </c>
      <c r="D494" s="40">
        <v>488</v>
      </c>
    </row>
    <row r="495" spans="1:4">
      <c r="A495" s="47">
        <v>624197</v>
      </c>
      <c r="B495" s="55" t="s">
        <v>675</v>
      </c>
      <c r="C495" s="51">
        <v>624197</v>
      </c>
      <c r="D495" s="40">
        <v>489</v>
      </c>
    </row>
    <row r="496" spans="1:4">
      <c r="A496" s="47">
        <v>624617</v>
      </c>
      <c r="B496" s="55" t="s">
        <v>676</v>
      </c>
      <c r="C496" s="51">
        <v>624617</v>
      </c>
      <c r="D496" s="40">
        <v>490</v>
      </c>
    </row>
    <row r="497" spans="1:4">
      <c r="A497" s="47">
        <v>624367</v>
      </c>
      <c r="B497" s="55" t="s">
        <v>677</v>
      </c>
      <c r="C497" s="51">
        <v>624367</v>
      </c>
      <c r="D497" s="40">
        <v>491</v>
      </c>
    </row>
    <row r="498" spans="1:4">
      <c r="A498" s="47">
        <v>621776</v>
      </c>
      <c r="B498" s="55" t="s">
        <v>678</v>
      </c>
      <c r="C498" s="51">
        <v>621776</v>
      </c>
      <c r="D498" s="40">
        <v>492</v>
      </c>
    </row>
    <row r="499" spans="1:4">
      <c r="A499" s="47">
        <v>621780</v>
      </c>
      <c r="B499" s="55" t="s">
        <v>679</v>
      </c>
      <c r="C499" s="51">
        <v>621780</v>
      </c>
      <c r="D499" s="40">
        <v>493</v>
      </c>
    </row>
    <row r="500" spans="1:4">
      <c r="A500" s="47">
        <v>624372</v>
      </c>
      <c r="B500" s="55" t="s">
        <v>680</v>
      </c>
      <c r="C500" s="51">
        <v>624372</v>
      </c>
      <c r="D500" s="40">
        <v>494</v>
      </c>
    </row>
    <row r="501" spans="1:4">
      <c r="A501" s="47">
        <v>624377</v>
      </c>
      <c r="B501" s="55" t="s">
        <v>681</v>
      </c>
      <c r="C501" s="51">
        <v>624377</v>
      </c>
      <c r="D501" s="40">
        <v>495</v>
      </c>
    </row>
    <row r="502" spans="1:4">
      <c r="A502" s="47">
        <v>624629</v>
      </c>
      <c r="B502" s="55" t="s">
        <v>682</v>
      </c>
      <c r="C502" s="51">
        <v>624629</v>
      </c>
      <c r="D502" s="40">
        <v>496</v>
      </c>
    </row>
    <row r="503" spans="1:4">
      <c r="A503" s="47">
        <v>621960</v>
      </c>
      <c r="B503" s="55" t="s">
        <v>683</v>
      </c>
      <c r="C503" s="51">
        <v>621960</v>
      </c>
      <c r="D503" s="40">
        <v>497</v>
      </c>
    </row>
    <row r="504" spans="1:4">
      <c r="A504" s="47">
        <v>624552</v>
      </c>
      <c r="B504" s="55" t="s">
        <v>684</v>
      </c>
      <c r="C504" s="51">
        <v>624552</v>
      </c>
      <c r="D504" s="40">
        <v>498</v>
      </c>
    </row>
    <row r="505" spans="1:4">
      <c r="A505" s="47">
        <v>621965</v>
      </c>
      <c r="B505" s="55" t="s">
        <v>685</v>
      </c>
      <c r="C505" s="51">
        <v>621965</v>
      </c>
      <c r="D505" s="40">
        <v>499</v>
      </c>
    </row>
    <row r="506" spans="1:4">
      <c r="A506" s="47">
        <v>624633</v>
      </c>
      <c r="B506" s="55" t="s">
        <v>686</v>
      </c>
      <c r="C506" s="51">
        <v>624633</v>
      </c>
      <c r="D506" s="40">
        <v>500</v>
      </c>
    </row>
    <row r="507" spans="1:4">
      <c r="A507" s="47">
        <v>624627</v>
      </c>
      <c r="B507" s="55" t="s">
        <v>687</v>
      </c>
      <c r="C507" s="51">
        <v>624627</v>
      </c>
      <c r="D507" s="40">
        <v>501</v>
      </c>
    </row>
    <row r="508" spans="1:4">
      <c r="A508" s="47">
        <v>624580</v>
      </c>
      <c r="B508" s="55" t="s">
        <v>688</v>
      </c>
      <c r="C508" s="51">
        <v>624580</v>
      </c>
      <c r="D508" s="40">
        <v>502</v>
      </c>
    </row>
    <row r="509" spans="1:4">
      <c r="A509" s="47">
        <v>624626</v>
      </c>
      <c r="B509" s="55" t="s">
        <v>689</v>
      </c>
      <c r="C509" s="51">
        <v>624626</v>
      </c>
      <c r="D509" s="40">
        <v>503</v>
      </c>
    </row>
    <row r="510" spans="1:4">
      <c r="A510" s="47">
        <v>624619</v>
      </c>
      <c r="B510" s="55" t="s">
        <v>690</v>
      </c>
      <c r="C510" s="51">
        <v>624619</v>
      </c>
      <c r="D510" s="40">
        <v>504</v>
      </c>
    </row>
    <row r="511" spans="1:4">
      <c r="A511" s="47">
        <v>620018</v>
      </c>
      <c r="B511" s="55" t="s">
        <v>691</v>
      </c>
      <c r="C511" s="51">
        <v>620018</v>
      </c>
      <c r="D511" s="40">
        <v>505</v>
      </c>
    </row>
    <row r="512" spans="1:4">
      <c r="A512" s="47">
        <v>620018</v>
      </c>
      <c r="B512" s="55" t="s">
        <v>691</v>
      </c>
      <c r="C512" s="51">
        <v>620018</v>
      </c>
      <c r="D512" s="40">
        <v>506</v>
      </c>
    </row>
    <row r="513" spans="1:4">
      <c r="A513" s="47">
        <v>620020</v>
      </c>
      <c r="B513" s="55" t="s">
        <v>692</v>
      </c>
      <c r="C513" s="51">
        <v>620020</v>
      </c>
      <c r="D513" s="40">
        <v>507</v>
      </c>
    </row>
    <row r="514" spans="1:4">
      <c r="A514" s="47">
        <v>620020</v>
      </c>
      <c r="B514" s="55" t="s">
        <v>692</v>
      </c>
      <c r="C514" s="51">
        <v>620020</v>
      </c>
      <c r="D514" s="40">
        <v>508</v>
      </c>
    </row>
    <row r="515" spans="1:4">
      <c r="A515" s="47">
        <v>620021</v>
      </c>
      <c r="B515" s="55" t="s">
        <v>693</v>
      </c>
      <c r="C515" s="51">
        <v>620021</v>
      </c>
      <c r="D515" s="40">
        <v>509</v>
      </c>
    </row>
    <row r="516" spans="1:4">
      <c r="A516" s="47">
        <v>620021</v>
      </c>
      <c r="B516" s="55" t="s">
        <v>693</v>
      </c>
      <c r="C516" s="51">
        <v>620021</v>
      </c>
      <c r="D516" s="40">
        <v>510</v>
      </c>
    </row>
    <row r="517" spans="1:4">
      <c r="A517" s="47">
        <v>620022</v>
      </c>
      <c r="B517" s="55" t="s">
        <v>694</v>
      </c>
      <c r="C517" s="51">
        <v>620022</v>
      </c>
      <c r="D517" s="40">
        <v>511</v>
      </c>
    </row>
    <row r="518" spans="1:4">
      <c r="A518" s="47">
        <v>620022</v>
      </c>
      <c r="B518" s="55" t="s">
        <v>694</v>
      </c>
      <c r="C518" s="51">
        <v>620022</v>
      </c>
      <c r="D518" s="40">
        <v>512</v>
      </c>
    </row>
    <row r="519" spans="1:4">
      <c r="A519" s="47">
        <v>624689</v>
      </c>
      <c r="B519" s="55" t="s">
        <v>695</v>
      </c>
      <c r="C519" s="51">
        <v>624689</v>
      </c>
      <c r="D519" s="40">
        <v>513</v>
      </c>
    </row>
    <row r="520" spans="1:4">
      <c r="A520" s="47">
        <v>624644</v>
      </c>
      <c r="B520" s="55" t="s">
        <v>696</v>
      </c>
      <c r="C520" s="51">
        <v>624644</v>
      </c>
      <c r="D520" s="40">
        <v>514</v>
      </c>
    </row>
    <row r="521" spans="1:4">
      <c r="A521" s="47">
        <v>624625</v>
      </c>
      <c r="B521" s="55" t="s">
        <v>697</v>
      </c>
      <c r="C521" s="51">
        <v>624625</v>
      </c>
      <c r="D521" s="40">
        <v>515</v>
      </c>
    </row>
    <row r="522" spans="1:4">
      <c r="A522" s="47">
        <v>624690</v>
      </c>
      <c r="B522" s="55" t="s">
        <v>698</v>
      </c>
      <c r="C522" s="51">
        <v>624690</v>
      </c>
      <c r="D522" s="40">
        <v>516</v>
      </c>
    </row>
    <row r="523" spans="1:4">
      <c r="A523" s="47">
        <v>624581</v>
      </c>
      <c r="B523" s="55" t="s">
        <v>699</v>
      </c>
      <c r="C523" s="51">
        <v>624581</v>
      </c>
      <c r="D523" s="40">
        <v>517</v>
      </c>
    </row>
    <row r="524" spans="1:4">
      <c r="A524" s="47">
        <v>624583</v>
      </c>
      <c r="B524" s="55" t="s">
        <v>700</v>
      </c>
      <c r="C524" s="51">
        <v>624583</v>
      </c>
      <c r="D524" s="40">
        <v>518</v>
      </c>
    </row>
    <row r="525" spans="1:4">
      <c r="A525" s="47">
        <v>624582</v>
      </c>
      <c r="B525" s="55" t="s">
        <v>701</v>
      </c>
      <c r="C525" s="51">
        <v>624582</v>
      </c>
      <c r="D525" s="40">
        <v>519</v>
      </c>
    </row>
    <row r="526" spans="1:4">
      <c r="A526" s="47">
        <v>624584</v>
      </c>
      <c r="B526" s="55" t="s">
        <v>702</v>
      </c>
      <c r="C526" s="51">
        <v>624584</v>
      </c>
      <c r="D526" s="40">
        <v>520</v>
      </c>
    </row>
    <row r="527" spans="1:4">
      <c r="A527" s="47">
        <v>624620</v>
      </c>
      <c r="B527" s="55" t="s">
        <v>703</v>
      </c>
      <c r="C527" s="51">
        <v>624620</v>
      </c>
      <c r="D527" s="40">
        <v>521</v>
      </c>
    </row>
    <row r="528" spans="1:4">
      <c r="A528" s="47">
        <v>624621</v>
      </c>
      <c r="B528" s="55" t="s">
        <v>704</v>
      </c>
      <c r="C528" s="51">
        <v>624621</v>
      </c>
      <c r="D528" s="40">
        <v>522</v>
      </c>
    </row>
    <row r="529" spans="1:4">
      <c r="A529" s="47">
        <v>624622</v>
      </c>
      <c r="B529" s="55" t="s">
        <v>705</v>
      </c>
      <c r="C529" s="51">
        <v>624622</v>
      </c>
      <c r="D529" s="40">
        <v>523</v>
      </c>
    </row>
    <row r="530" spans="1:4">
      <c r="A530" s="47">
        <v>624623</v>
      </c>
      <c r="B530" s="55" t="s">
        <v>706</v>
      </c>
      <c r="C530" s="51">
        <v>624623</v>
      </c>
      <c r="D530" s="40">
        <v>524</v>
      </c>
    </row>
    <row r="531" spans="1:4">
      <c r="A531" s="47">
        <v>624624</v>
      </c>
      <c r="B531" s="55" t="s">
        <v>707</v>
      </c>
      <c r="C531" s="51">
        <v>624624</v>
      </c>
      <c r="D531" s="40">
        <v>525</v>
      </c>
    </row>
    <row r="532" spans="1:4">
      <c r="A532" s="47">
        <v>624638</v>
      </c>
      <c r="B532" s="55" t="s">
        <v>708</v>
      </c>
      <c r="C532" s="51">
        <v>624638</v>
      </c>
      <c r="D532" s="40">
        <v>526</v>
      </c>
    </row>
    <row r="533" spans="1:4">
      <c r="A533" s="47">
        <v>624585</v>
      </c>
      <c r="B533" s="55" t="s">
        <v>709</v>
      </c>
      <c r="C533" s="51">
        <v>624585</v>
      </c>
      <c r="D533" s="40">
        <v>527</v>
      </c>
    </row>
    <row r="534" spans="1:4">
      <c r="A534" s="47">
        <v>624692</v>
      </c>
      <c r="B534" s="55" t="s">
        <v>710</v>
      </c>
      <c r="C534" s="51">
        <v>624692</v>
      </c>
      <c r="D534" s="40">
        <v>528</v>
      </c>
    </row>
    <row r="535" spans="1:4">
      <c r="A535" s="47">
        <v>624692</v>
      </c>
      <c r="B535" s="55" t="s">
        <v>710</v>
      </c>
      <c r="C535" s="51">
        <v>624692</v>
      </c>
      <c r="D535" s="40">
        <v>529</v>
      </c>
    </row>
    <row r="536" spans="1:4">
      <c r="A536" s="47">
        <v>624631</v>
      </c>
      <c r="B536" s="55" t="s">
        <v>711</v>
      </c>
      <c r="C536" s="51">
        <v>624631</v>
      </c>
      <c r="D536" s="40">
        <v>530</v>
      </c>
    </row>
    <row r="537" spans="1:4">
      <c r="A537" s="47">
        <v>624691</v>
      </c>
      <c r="B537" s="55" t="s">
        <v>712</v>
      </c>
      <c r="C537" s="51">
        <v>624691</v>
      </c>
      <c r="D537" s="40">
        <v>531</v>
      </c>
    </row>
    <row r="538" spans="1:4">
      <c r="A538" s="47">
        <v>624641</v>
      </c>
      <c r="B538" s="55" t="s">
        <v>713</v>
      </c>
      <c r="C538" s="51">
        <v>624641</v>
      </c>
      <c r="D538" s="40">
        <v>532</v>
      </c>
    </row>
    <row r="539" spans="1:4">
      <c r="A539" s="47">
        <v>624642</v>
      </c>
      <c r="B539" s="55" t="s">
        <v>714</v>
      </c>
      <c r="C539" s="51">
        <v>624642</v>
      </c>
      <c r="D539" s="40">
        <v>533</v>
      </c>
    </row>
    <row r="540" spans="1:4">
      <c r="A540" s="47">
        <v>432130</v>
      </c>
      <c r="B540" s="55" t="s">
        <v>715</v>
      </c>
      <c r="C540" s="51">
        <v>432130</v>
      </c>
      <c r="D540" s="40">
        <v>534</v>
      </c>
    </row>
    <row r="541" spans="1:4">
      <c r="A541" s="47">
        <v>438110</v>
      </c>
      <c r="B541" s="55" t="s">
        <v>716</v>
      </c>
      <c r="C541" s="51">
        <v>438110</v>
      </c>
      <c r="D541" s="40">
        <v>535</v>
      </c>
    </row>
    <row r="542" spans="1:4">
      <c r="A542" s="47">
        <v>438112</v>
      </c>
      <c r="B542" s="55" t="s">
        <v>717</v>
      </c>
      <c r="C542" s="51">
        <v>438112</v>
      </c>
      <c r="D542" s="40">
        <v>536</v>
      </c>
    </row>
    <row r="543" spans="1:4">
      <c r="A543" s="47">
        <v>438113</v>
      </c>
      <c r="B543" s="55" t="s">
        <v>718</v>
      </c>
      <c r="C543" s="51">
        <v>438113</v>
      </c>
      <c r="D543" s="40">
        <v>537</v>
      </c>
    </row>
    <row r="544" spans="1:4">
      <c r="A544" s="47">
        <v>438109</v>
      </c>
      <c r="B544" s="55" t="s">
        <v>719</v>
      </c>
      <c r="C544" s="51">
        <v>438109</v>
      </c>
      <c r="D544" s="40">
        <v>538</v>
      </c>
    </row>
    <row r="545" spans="1:4">
      <c r="A545" s="47">
        <v>438114</v>
      </c>
      <c r="B545" s="55" t="s">
        <v>720</v>
      </c>
      <c r="C545" s="51">
        <v>438114</v>
      </c>
      <c r="D545" s="40">
        <v>539</v>
      </c>
    </row>
    <row r="546" spans="1:4">
      <c r="A546" s="47">
        <v>431114</v>
      </c>
      <c r="B546" s="55" t="s">
        <v>721</v>
      </c>
      <c r="C546" s="51">
        <v>431114</v>
      </c>
      <c r="D546" s="40">
        <v>540</v>
      </c>
    </row>
    <row r="547" spans="1:4">
      <c r="A547" s="47">
        <v>438120</v>
      </c>
      <c r="B547" s="55" t="s">
        <v>722</v>
      </c>
      <c r="C547" s="51">
        <v>438120</v>
      </c>
      <c r="D547" s="40">
        <v>541</v>
      </c>
    </row>
    <row r="548" spans="1:4">
      <c r="A548" s="47">
        <v>432307</v>
      </c>
      <c r="B548" s="55" t="s">
        <v>723</v>
      </c>
      <c r="C548" s="51">
        <v>432307</v>
      </c>
      <c r="D548" s="40">
        <v>542</v>
      </c>
    </row>
    <row r="549" spans="1:4">
      <c r="A549" s="47">
        <v>433307</v>
      </c>
      <c r="B549" s="55" t="s">
        <v>724</v>
      </c>
      <c r="C549" s="51">
        <v>433307</v>
      </c>
      <c r="D549" s="40">
        <v>543</v>
      </c>
    </row>
    <row r="550" spans="1:4">
      <c r="A550" s="47">
        <v>431306</v>
      </c>
      <c r="B550" s="55" t="s">
        <v>725</v>
      </c>
      <c r="C550" s="51">
        <v>431306</v>
      </c>
      <c r="D550" s="40">
        <v>544</v>
      </c>
    </row>
    <row r="551" spans="1:4">
      <c r="A551" s="47">
        <v>434308</v>
      </c>
      <c r="B551" s="55" t="s">
        <v>726</v>
      </c>
      <c r="C551" s="51">
        <v>434308</v>
      </c>
      <c r="D551" s="40">
        <v>545</v>
      </c>
    </row>
    <row r="552" spans="1:4">
      <c r="A552" s="47">
        <v>431307</v>
      </c>
      <c r="B552" s="55" t="s">
        <v>727</v>
      </c>
      <c r="C552" s="51">
        <v>431307</v>
      </c>
      <c r="D552" s="40">
        <v>546</v>
      </c>
    </row>
    <row r="553" spans="1:4">
      <c r="A553" s="47">
        <v>432309</v>
      </c>
      <c r="B553" s="55" t="s">
        <v>728</v>
      </c>
      <c r="C553" s="51">
        <v>432309</v>
      </c>
      <c r="D553" s="40">
        <v>547</v>
      </c>
    </row>
    <row r="554" spans="1:4">
      <c r="A554" s="47">
        <v>434309</v>
      </c>
      <c r="B554" s="55" t="s">
        <v>729</v>
      </c>
      <c r="C554" s="51">
        <v>434309</v>
      </c>
      <c r="D554" s="40">
        <v>548</v>
      </c>
    </row>
    <row r="555" spans="1:4">
      <c r="A555" s="47">
        <v>434310</v>
      </c>
      <c r="B555" s="55" t="s">
        <v>730</v>
      </c>
      <c r="C555" s="51">
        <v>434310</v>
      </c>
      <c r="D555" s="40">
        <v>549</v>
      </c>
    </row>
    <row r="556" spans="1:4">
      <c r="A556" s="47">
        <v>432300</v>
      </c>
      <c r="B556" s="55" t="s">
        <v>731</v>
      </c>
      <c r="C556" s="51">
        <v>432300</v>
      </c>
      <c r="D556" s="40">
        <v>550</v>
      </c>
    </row>
    <row r="557" spans="1:4">
      <c r="A557" s="47">
        <v>432301</v>
      </c>
      <c r="B557" s="55" t="s">
        <v>732</v>
      </c>
      <c r="C557" s="51">
        <v>432301</v>
      </c>
      <c r="D557" s="40">
        <v>551</v>
      </c>
    </row>
    <row r="558" spans="1:4">
      <c r="A558" s="47">
        <v>431309</v>
      </c>
      <c r="B558" s="55" t="s">
        <v>733</v>
      </c>
      <c r="C558" s="51">
        <v>431309</v>
      </c>
      <c r="D558" s="40">
        <v>552</v>
      </c>
    </row>
    <row r="559" spans="1:4">
      <c r="A559" s="47">
        <v>433301</v>
      </c>
      <c r="B559" s="55" t="s">
        <v>734</v>
      </c>
      <c r="C559" s="51">
        <v>433301</v>
      </c>
      <c r="D559" s="40">
        <v>553</v>
      </c>
    </row>
    <row r="560" spans="1:4">
      <c r="A560" s="47">
        <v>434301</v>
      </c>
      <c r="B560" s="55" t="s">
        <v>735</v>
      </c>
      <c r="C560" s="51">
        <v>434301</v>
      </c>
      <c r="D560" s="40">
        <v>554</v>
      </c>
    </row>
    <row r="561" spans="1:4">
      <c r="A561" s="47">
        <v>432302</v>
      </c>
      <c r="B561" s="55" t="s">
        <v>736</v>
      </c>
      <c r="C561" s="51">
        <v>432302</v>
      </c>
      <c r="D561" s="40">
        <v>555</v>
      </c>
    </row>
    <row r="562" spans="1:4">
      <c r="A562" s="47">
        <v>432303</v>
      </c>
      <c r="B562" s="55" t="s">
        <v>737</v>
      </c>
      <c r="C562" s="51">
        <v>432303</v>
      </c>
      <c r="D562" s="40">
        <v>556</v>
      </c>
    </row>
    <row r="563" spans="1:4">
      <c r="A563" s="47">
        <v>434303</v>
      </c>
      <c r="B563" s="55" t="s">
        <v>738</v>
      </c>
      <c r="C563" s="51">
        <v>434303</v>
      </c>
      <c r="D563" s="40">
        <v>557</v>
      </c>
    </row>
    <row r="564" spans="1:4">
      <c r="A564" s="47">
        <v>431303</v>
      </c>
      <c r="B564" s="55" t="s">
        <v>739</v>
      </c>
      <c r="C564" s="51">
        <v>431303</v>
      </c>
      <c r="D564" s="40">
        <v>558</v>
      </c>
    </row>
    <row r="565" spans="1:4">
      <c r="A565" s="47">
        <v>432304</v>
      </c>
      <c r="B565" s="55" t="s">
        <v>740</v>
      </c>
      <c r="C565" s="51">
        <v>432304</v>
      </c>
      <c r="D565" s="40">
        <v>559</v>
      </c>
    </row>
    <row r="566" spans="1:4">
      <c r="A566" s="47">
        <v>433304</v>
      </c>
      <c r="B566" s="55" t="s">
        <v>741</v>
      </c>
      <c r="C566" s="51">
        <v>433304</v>
      </c>
      <c r="D566" s="40">
        <v>560</v>
      </c>
    </row>
    <row r="567" spans="1:4">
      <c r="A567" s="47">
        <v>432305</v>
      </c>
      <c r="B567" s="55" t="s">
        <v>742</v>
      </c>
      <c r="C567" s="51">
        <v>432305</v>
      </c>
      <c r="D567" s="40">
        <v>561</v>
      </c>
    </row>
    <row r="568" spans="1:4">
      <c r="A568" s="47">
        <v>433305</v>
      </c>
      <c r="B568" s="55" t="s">
        <v>743</v>
      </c>
      <c r="C568" s="51">
        <v>433305</v>
      </c>
      <c r="D568" s="40">
        <v>562</v>
      </c>
    </row>
    <row r="569" spans="1:4">
      <c r="A569" s="47">
        <v>434305</v>
      </c>
      <c r="B569" s="55" t="s">
        <v>744</v>
      </c>
      <c r="C569" s="51">
        <v>434305</v>
      </c>
      <c r="D569" s="40">
        <v>563</v>
      </c>
    </row>
    <row r="570" spans="1:4">
      <c r="A570" s="47">
        <v>432306</v>
      </c>
      <c r="B570" s="55" t="s">
        <v>745</v>
      </c>
      <c r="C570" s="51">
        <v>432306</v>
      </c>
      <c r="D570" s="40">
        <v>564</v>
      </c>
    </row>
    <row r="571" spans="1:4">
      <c r="A571" s="47">
        <v>433306</v>
      </c>
      <c r="B571" s="55" t="s">
        <v>746</v>
      </c>
      <c r="C571" s="51">
        <v>433306</v>
      </c>
      <c r="D571" s="40">
        <v>565</v>
      </c>
    </row>
    <row r="572" spans="1:4">
      <c r="A572" s="47">
        <v>434306</v>
      </c>
      <c r="B572" s="55" t="s">
        <v>747</v>
      </c>
      <c r="C572" s="51">
        <v>434306</v>
      </c>
      <c r="D572" s="40">
        <v>566</v>
      </c>
    </row>
    <row r="573" spans="1:4">
      <c r="A573" s="47">
        <v>542102</v>
      </c>
      <c r="B573" s="55" t="s">
        <v>748</v>
      </c>
      <c r="C573" s="51">
        <v>542102</v>
      </c>
      <c r="D573" s="40">
        <v>567</v>
      </c>
    </row>
    <row r="574" spans="1:4">
      <c r="A574" s="47">
        <v>512111</v>
      </c>
      <c r="B574" s="55" t="s">
        <v>749</v>
      </c>
      <c r="C574" s="51">
        <v>512111</v>
      </c>
      <c r="D574" s="40">
        <v>568</v>
      </c>
    </row>
    <row r="575" spans="1:4">
      <c r="A575" s="47">
        <v>512116</v>
      </c>
      <c r="B575" s="55" t="s">
        <v>750</v>
      </c>
      <c r="C575" s="51">
        <v>512116</v>
      </c>
      <c r="D575" s="40">
        <v>569</v>
      </c>
    </row>
    <row r="576" spans="1:4">
      <c r="A576" s="47">
        <v>513111</v>
      </c>
      <c r="B576" s="55" t="s">
        <v>751</v>
      </c>
      <c r="C576" s="51">
        <v>513111</v>
      </c>
      <c r="D576" s="40">
        <v>570</v>
      </c>
    </row>
    <row r="577" spans="1:4">
      <c r="A577" s="47">
        <v>542101</v>
      </c>
      <c r="B577" s="55" t="s">
        <v>752</v>
      </c>
      <c r="C577" s="51">
        <v>542101</v>
      </c>
      <c r="D577" s="40">
        <v>571</v>
      </c>
    </row>
    <row r="578" spans="1:4">
      <c r="A578" s="47">
        <v>542104</v>
      </c>
      <c r="B578" s="55" t="s">
        <v>753</v>
      </c>
      <c r="C578" s="51">
        <v>542104</v>
      </c>
      <c r="D578" s="40">
        <v>572</v>
      </c>
    </row>
    <row r="579" spans="1:4">
      <c r="A579" s="47">
        <v>512112</v>
      </c>
      <c r="B579" s="55" t="s">
        <v>754</v>
      </c>
      <c r="C579" s="51">
        <v>512112</v>
      </c>
      <c r="D579" s="40">
        <v>573</v>
      </c>
    </row>
    <row r="580" spans="1:4">
      <c r="A580" s="47">
        <v>513112</v>
      </c>
      <c r="B580" s="55" t="s">
        <v>755</v>
      </c>
      <c r="C580" s="51">
        <v>513112</v>
      </c>
      <c r="D580" s="40">
        <v>574</v>
      </c>
    </row>
    <row r="581" spans="1:4">
      <c r="A581" s="47">
        <v>542103</v>
      </c>
      <c r="B581" s="55" t="s">
        <v>756</v>
      </c>
      <c r="C581" s="51">
        <v>542103</v>
      </c>
      <c r="D581" s="40">
        <v>575</v>
      </c>
    </row>
    <row r="582" spans="1:4">
      <c r="A582" s="47">
        <v>542114</v>
      </c>
      <c r="B582" s="55" t="s">
        <v>757</v>
      </c>
      <c r="C582" s="51">
        <v>542114</v>
      </c>
      <c r="D582" s="40">
        <v>576</v>
      </c>
    </row>
    <row r="583" spans="1:4">
      <c r="A583" s="47">
        <v>512113</v>
      </c>
      <c r="B583" s="55" t="s">
        <v>758</v>
      </c>
      <c r="C583" s="51">
        <v>512113</v>
      </c>
      <c r="D583" s="40">
        <v>577</v>
      </c>
    </row>
    <row r="584" spans="1:4">
      <c r="A584" s="47">
        <v>513113</v>
      </c>
      <c r="B584" s="55" t="s">
        <v>759</v>
      </c>
      <c r="C584" s="51">
        <v>513113</v>
      </c>
      <c r="D584" s="40">
        <v>578</v>
      </c>
    </row>
    <row r="585" spans="1:4">
      <c r="A585" s="47">
        <v>542113</v>
      </c>
      <c r="B585" s="55" t="s">
        <v>760</v>
      </c>
      <c r="C585" s="51">
        <v>542113</v>
      </c>
      <c r="D585" s="40">
        <v>579</v>
      </c>
    </row>
    <row r="586" spans="1:4">
      <c r="A586" s="47">
        <v>513115</v>
      </c>
      <c r="B586" s="55" t="s">
        <v>761</v>
      </c>
      <c r="C586" s="51">
        <v>513115</v>
      </c>
      <c r="D586" s="40">
        <v>580</v>
      </c>
    </row>
    <row r="587" spans="1:4">
      <c r="A587" s="47">
        <v>512101</v>
      </c>
      <c r="B587" s="55" t="s">
        <v>762</v>
      </c>
      <c r="C587" s="51">
        <v>512101</v>
      </c>
      <c r="D587" s="40">
        <v>581</v>
      </c>
    </row>
    <row r="588" spans="1:4">
      <c r="A588" s="47">
        <v>513101</v>
      </c>
      <c r="B588" s="55" t="s">
        <v>763</v>
      </c>
      <c r="C588" s="51">
        <v>513101</v>
      </c>
      <c r="D588" s="40">
        <v>582</v>
      </c>
    </row>
    <row r="589" spans="1:4">
      <c r="A589" s="47">
        <v>514101</v>
      </c>
      <c r="B589" s="55" t="s">
        <v>764</v>
      </c>
      <c r="C589" s="51">
        <v>514101</v>
      </c>
      <c r="D589" s="40">
        <v>583</v>
      </c>
    </row>
    <row r="590" spans="1:4">
      <c r="A590" s="47">
        <v>512102</v>
      </c>
      <c r="B590" s="55" t="s">
        <v>765</v>
      </c>
      <c r="C590" s="51">
        <v>512102</v>
      </c>
      <c r="D590" s="40">
        <v>584</v>
      </c>
    </row>
    <row r="591" spans="1:4">
      <c r="A591" s="47">
        <v>513102</v>
      </c>
      <c r="B591" s="55" t="s">
        <v>766</v>
      </c>
      <c r="C591" s="51">
        <v>513102</v>
      </c>
      <c r="D591" s="40">
        <v>585</v>
      </c>
    </row>
    <row r="592" spans="1:4">
      <c r="A592" s="47">
        <v>513116</v>
      </c>
      <c r="B592" s="55" t="s">
        <v>767</v>
      </c>
      <c r="C592" s="51">
        <v>513116</v>
      </c>
      <c r="D592" s="40">
        <v>586</v>
      </c>
    </row>
    <row r="593" spans="1:4">
      <c r="A593" s="47">
        <v>512103</v>
      </c>
      <c r="B593" s="55" t="s">
        <v>768</v>
      </c>
      <c r="C593" s="51">
        <v>512103</v>
      </c>
      <c r="D593" s="40">
        <v>587</v>
      </c>
    </row>
    <row r="594" spans="1:4">
      <c r="A594" s="47">
        <v>513103</v>
      </c>
      <c r="B594" s="55" t="s">
        <v>769</v>
      </c>
      <c r="C594" s="51">
        <v>513103</v>
      </c>
      <c r="D594" s="40">
        <v>588</v>
      </c>
    </row>
    <row r="595" spans="1:4">
      <c r="A595" s="47">
        <v>512104</v>
      </c>
      <c r="B595" s="55" t="s">
        <v>770</v>
      </c>
      <c r="C595" s="51">
        <v>512104</v>
      </c>
      <c r="D595" s="40">
        <v>589</v>
      </c>
    </row>
    <row r="596" spans="1:4">
      <c r="A596" s="47">
        <v>513104</v>
      </c>
      <c r="B596" s="55" t="s">
        <v>771</v>
      </c>
      <c r="C596" s="51">
        <v>513104</v>
      </c>
      <c r="D596" s="40">
        <v>590</v>
      </c>
    </row>
    <row r="597" spans="1:4">
      <c r="A597" s="47">
        <v>512105</v>
      </c>
      <c r="B597" s="55" t="s">
        <v>772</v>
      </c>
      <c r="C597" s="51">
        <v>512105</v>
      </c>
      <c r="D597" s="40">
        <v>591</v>
      </c>
    </row>
    <row r="598" spans="1:4">
      <c r="A598" s="47">
        <v>513105</v>
      </c>
      <c r="B598" s="55" t="s">
        <v>773</v>
      </c>
      <c r="C598" s="51">
        <v>513105</v>
      </c>
      <c r="D598" s="40">
        <v>592</v>
      </c>
    </row>
    <row r="599" spans="1:4">
      <c r="A599" s="47">
        <v>514105</v>
      </c>
      <c r="B599" s="55" t="s">
        <v>774</v>
      </c>
      <c r="C599" s="51">
        <v>514105</v>
      </c>
      <c r="D599" s="40">
        <v>593</v>
      </c>
    </row>
    <row r="600" spans="1:4">
      <c r="A600" s="47">
        <v>532102</v>
      </c>
      <c r="B600" s="55" t="s">
        <v>775</v>
      </c>
      <c r="C600" s="51">
        <v>532102</v>
      </c>
      <c r="D600" s="40">
        <v>594</v>
      </c>
    </row>
    <row r="601" spans="1:4">
      <c r="A601" s="47">
        <v>512106</v>
      </c>
      <c r="B601" s="55" t="s">
        <v>776</v>
      </c>
      <c r="C601" s="51">
        <v>512106</v>
      </c>
      <c r="D601" s="40">
        <v>595</v>
      </c>
    </row>
    <row r="602" spans="1:4">
      <c r="A602" s="47">
        <v>513106</v>
      </c>
      <c r="B602" s="55" t="s">
        <v>777</v>
      </c>
      <c r="C602" s="51">
        <v>513106</v>
      </c>
      <c r="D602" s="40">
        <v>596</v>
      </c>
    </row>
    <row r="603" spans="1:4">
      <c r="A603" s="47">
        <v>514106</v>
      </c>
      <c r="B603" s="55" t="s">
        <v>778</v>
      </c>
      <c r="C603" s="51">
        <v>514106</v>
      </c>
      <c r="D603" s="40">
        <v>597</v>
      </c>
    </row>
    <row r="604" spans="1:4">
      <c r="A604" s="47">
        <v>512107</v>
      </c>
      <c r="B604" s="55" t="s">
        <v>779</v>
      </c>
      <c r="C604" s="51">
        <v>512107</v>
      </c>
      <c r="D604" s="40">
        <v>598</v>
      </c>
    </row>
    <row r="605" spans="1:4">
      <c r="A605" s="47">
        <v>513107</v>
      </c>
      <c r="B605" s="55" t="s">
        <v>780</v>
      </c>
      <c r="C605" s="51">
        <v>513107</v>
      </c>
      <c r="D605" s="40">
        <v>599</v>
      </c>
    </row>
    <row r="606" spans="1:4">
      <c r="A606" s="47">
        <v>514107</v>
      </c>
      <c r="B606" s="55" t="s">
        <v>781</v>
      </c>
      <c r="C606" s="51">
        <v>514107</v>
      </c>
      <c r="D606" s="40">
        <v>600</v>
      </c>
    </row>
    <row r="607" spans="1:4">
      <c r="A607" s="47">
        <v>532101</v>
      </c>
      <c r="B607" s="55" t="s">
        <v>782</v>
      </c>
      <c r="C607" s="51">
        <v>532101</v>
      </c>
      <c r="D607" s="40">
        <v>601</v>
      </c>
    </row>
    <row r="608" spans="1:4">
      <c r="A608" s="47">
        <v>512108</v>
      </c>
      <c r="B608" s="55" t="s">
        <v>783</v>
      </c>
      <c r="C608" s="51">
        <v>512108</v>
      </c>
      <c r="D608" s="40">
        <v>602</v>
      </c>
    </row>
    <row r="609" spans="1:4">
      <c r="A609" s="47">
        <v>513108</v>
      </c>
      <c r="B609" s="55" t="s">
        <v>784</v>
      </c>
      <c r="C609" s="51">
        <v>513108</v>
      </c>
      <c r="D609" s="40">
        <v>603</v>
      </c>
    </row>
    <row r="610" spans="1:4">
      <c r="A610" s="47">
        <v>542106</v>
      </c>
      <c r="B610" s="55" t="s">
        <v>785</v>
      </c>
      <c r="C610" s="51">
        <v>542106</v>
      </c>
      <c r="D610" s="40">
        <v>604</v>
      </c>
    </row>
    <row r="611" spans="1:4">
      <c r="A611" s="47">
        <v>542105</v>
      </c>
      <c r="B611" s="55" t="s">
        <v>786</v>
      </c>
      <c r="C611" s="51">
        <v>542105</v>
      </c>
      <c r="D611" s="40">
        <v>605</v>
      </c>
    </row>
    <row r="612" spans="1:4">
      <c r="A612" s="47">
        <v>512109</v>
      </c>
      <c r="B612" s="55" t="s">
        <v>787</v>
      </c>
      <c r="C612" s="51">
        <v>512109</v>
      </c>
      <c r="D612" s="40">
        <v>606</v>
      </c>
    </row>
    <row r="613" spans="1:4">
      <c r="A613" s="47">
        <v>513109</v>
      </c>
      <c r="B613" s="55" t="s">
        <v>788</v>
      </c>
      <c r="C613" s="51">
        <v>513109</v>
      </c>
      <c r="D613" s="40">
        <v>607</v>
      </c>
    </row>
    <row r="614" spans="1:4">
      <c r="A614" s="47">
        <v>514109</v>
      </c>
      <c r="B614" s="55" t="s">
        <v>789</v>
      </c>
      <c r="C614" s="51">
        <v>514109</v>
      </c>
      <c r="D614" s="40">
        <v>608</v>
      </c>
    </row>
    <row r="615" spans="1:4">
      <c r="A615" s="47">
        <v>542119</v>
      </c>
      <c r="B615" s="55" t="s">
        <v>790</v>
      </c>
      <c r="C615" s="51">
        <v>542119</v>
      </c>
      <c r="D615" s="40">
        <v>609</v>
      </c>
    </row>
    <row r="616" spans="1:4">
      <c r="A616" s="47">
        <v>512117</v>
      </c>
      <c r="B616" s="55" t="s">
        <v>791</v>
      </c>
      <c r="C616" s="51">
        <v>512117</v>
      </c>
      <c r="D616" s="40">
        <v>610</v>
      </c>
    </row>
    <row r="617" spans="1:4">
      <c r="A617" s="47">
        <v>432201</v>
      </c>
      <c r="B617" s="55" t="s">
        <v>792</v>
      </c>
      <c r="C617" s="51">
        <v>432201</v>
      </c>
      <c r="D617" s="40">
        <v>611</v>
      </c>
    </row>
    <row r="618" spans="1:4">
      <c r="A618" s="47">
        <v>431310</v>
      </c>
      <c r="B618" s="55" t="s">
        <v>793</v>
      </c>
      <c r="C618" s="51">
        <v>431310</v>
      </c>
      <c r="D618" s="40">
        <v>612</v>
      </c>
    </row>
    <row r="619" spans="1:4">
      <c r="A619" s="47">
        <v>431311</v>
      </c>
      <c r="B619" s="55" t="s">
        <v>794</v>
      </c>
      <c r="C619" s="51">
        <v>431311</v>
      </c>
      <c r="D619" s="40">
        <v>613</v>
      </c>
    </row>
    <row r="620" spans="1:4">
      <c r="A620" s="47">
        <v>434312</v>
      </c>
      <c r="B620" s="55" t="s">
        <v>795</v>
      </c>
      <c r="C620" s="51">
        <v>434312</v>
      </c>
      <c r="D620" s="40">
        <v>614</v>
      </c>
    </row>
    <row r="621" spans="1:4">
      <c r="A621" s="47">
        <v>438118</v>
      </c>
      <c r="B621" s="55" t="s">
        <v>796</v>
      </c>
      <c r="C621" s="51">
        <v>438118</v>
      </c>
      <c r="D621" s="40">
        <v>615</v>
      </c>
    </row>
    <row r="622" spans="1:4">
      <c r="A622" s="47">
        <v>432101</v>
      </c>
      <c r="B622" s="55" t="s">
        <v>797</v>
      </c>
      <c r="C622" s="51">
        <v>432101</v>
      </c>
      <c r="D622" s="40">
        <v>616</v>
      </c>
    </row>
    <row r="623" spans="1:4">
      <c r="A623" s="47">
        <v>432312</v>
      </c>
      <c r="B623" s="55" t="s">
        <v>798</v>
      </c>
      <c r="C623" s="51">
        <v>432312</v>
      </c>
      <c r="D623" s="40">
        <v>617</v>
      </c>
    </row>
    <row r="624" spans="1:4">
      <c r="A624" s="47">
        <v>438119</v>
      </c>
      <c r="B624" s="55" t="s">
        <v>799</v>
      </c>
      <c r="C624" s="51">
        <v>438119</v>
      </c>
      <c r="D624" s="40">
        <v>618</v>
      </c>
    </row>
    <row r="625" spans="1:4">
      <c r="A625" s="47">
        <v>431314</v>
      </c>
      <c r="B625" s="55" t="s">
        <v>800</v>
      </c>
      <c r="C625" s="51">
        <v>431314</v>
      </c>
      <c r="D625" s="40">
        <v>619</v>
      </c>
    </row>
    <row r="626" spans="1:4">
      <c r="A626" s="47">
        <v>432123</v>
      </c>
      <c r="B626" s="55" t="s">
        <v>801</v>
      </c>
      <c r="C626" s="51">
        <v>432123</v>
      </c>
      <c r="D626" s="40">
        <v>620</v>
      </c>
    </row>
    <row r="627" spans="1:4">
      <c r="A627" s="47">
        <v>433198</v>
      </c>
      <c r="B627" s="55" t="s">
        <v>909</v>
      </c>
      <c r="C627" s="51">
        <v>433198</v>
      </c>
      <c r="D627" s="40">
        <v>621</v>
      </c>
    </row>
    <row r="628" spans="1:4">
      <c r="A628" s="47">
        <v>433199</v>
      </c>
      <c r="B628" s="55" t="s">
        <v>908</v>
      </c>
      <c r="C628" s="51">
        <v>433199</v>
      </c>
      <c r="D628" s="40">
        <v>622</v>
      </c>
    </row>
    <row r="629" spans="1:4">
      <c r="A629" s="47">
        <v>432313</v>
      </c>
      <c r="B629" s="55" t="s">
        <v>907</v>
      </c>
      <c r="C629" s="51">
        <v>432313</v>
      </c>
      <c r="D629" s="40">
        <v>623</v>
      </c>
    </row>
    <row r="630" spans="1:4">
      <c r="A630" s="47">
        <v>434311</v>
      </c>
      <c r="B630" s="55" t="s">
        <v>906</v>
      </c>
      <c r="C630" s="51">
        <v>434311</v>
      </c>
      <c r="D630" s="40">
        <v>624</v>
      </c>
    </row>
    <row r="631" spans="1:4">
      <c r="A631" s="47">
        <v>431312</v>
      </c>
      <c r="B631" s="55" t="s">
        <v>905</v>
      </c>
      <c r="C631" s="51">
        <v>431312</v>
      </c>
      <c r="D631" s="40">
        <v>625</v>
      </c>
    </row>
    <row r="632" spans="1:4">
      <c r="A632" s="47">
        <v>432114</v>
      </c>
      <c r="B632" s="55" t="s">
        <v>904</v>
      </c>
      <c r="C632" s="51">
        <v>432114</v>
      </c>
      <c r="D632" s="40">
        <v>626</v>
      </c>
    </row>
    <row r="633" spans="1:4">
      <c r="A633" s="47">
        <v>436102</v>
      </c>
      <c r="B633" s="55" t="s">
        <v>903</v>
      </c>
      <c r="C633" s="51">
        <v>436102</v>
      </c>
      <c r="D633" s="40">
        <v>627</v>
      </c>
    </row>
    <row r="634" spans="1:4">
      <c r="A634" s="47">
        <v>437104</v>
      </c>
      <c r="B634" s="55" t="s">
        <v>902</v>
      </c>
      <c r="C634" s="51">
        <v>437104</v>
      </c>
      <c r="D634" s="40">
        <v>628</v>
      </c>
    </row>
    <row r="635" spans="1:4">
      <c r="A635" s="47">
        <v>432115</v>
      </c>
      <c r="B635" s="55" t="s">
        <v>901</v>
      </c>
      <c r="C635" s="51">
        <v>432115</v>
      </c>
      <c r="D635" s="40">
        <v>629</v>
      </c>
    </row>
    <row r="636" spans="1:4">
      <c r="A636" s="47">
        <v>433115</v>
      </c>
      <c r="B636" s="55" t="s">
        <v>900</v>
      </c>
      <c r="C636" s="51">
        <v>433115</v>
      </c>
      <c r="D636" s="40">
        <v>630</v>
      </c>
    </row>
    <row r="637" spans="1:4">
      <c r="A637" s="47">
        <v>434115</v>
      </c>
      <c r="B637" s="55" t="s">
        <v>899</v>
      </c>
      <c r="C637" s="51">
        <v>434115</v>
      </c>
      <c r="D637" s="40">
        <v>631</v>
      </c>
    </row>
    <row r="638" spans="1:4">
      <c r="A638" s="47">
        <v>432116</v>
      </c>
      <c r="B638" s="55" t="s">
        <v>898</v>
      </c>
      <c r="C638" s="51">
        <v>432116</v>
      </c>
      <c r="D638" s="40">
        <v>632</v>
      </c>
    </row>
    <row r="639" spans="1:4">
      <c r="A639" s="47">
        <v>433116</v>
      </c>
      <c r="B639" s="55" t="s">
        <v>897</v>
      </c>
      <c r="C639" s="51">
        <v>433116</v>
      </c>
      <c r="D639" s="40">
        <v>633</v>
      </c>
    </row>
    <row r="640" spans="1:4">
      <c r="A640" s="47">
        <v>434116</v>
      </c>
      <c r="B640" s="55" t="s">
        <v>896</v>
      </c>
      <c r="C640" s="51">
        <v>434116</v>
      </c>
      <c r="D640" s="40">
        <v>634</v>
      </c>
    </row>
    <row r="641" spans="1:4">
      <c r="A641" s="47">
        <v>432117</v>
      </c>
      <c r="B641" s="55" t="s">
        <v>895</v>
      </c>
      <c r="C641" s="51">
        <v>432117</v>
      </c>
      <c r="D641" s="40">
        <v>635</v>
      </c>
    </row>
    <row r="642" spans="1:4">
      <c r="A642" s="47">
        <v>436103</v>
      </c>
      <c r="B642" s="55" t="s">
        <v>894</v>
      </c>
      <c r="C642" s="51">
        <v>436103</v>
      </c>
      <c r="D642" s="40">
        <v>636</v>
      </c>
    </row>
    <row r="643" spans="1:4">
      <c r="A643" s="47">
        <v>438107</v>
      </c>
      <c r="B643" s="55" t="s">
        <v>893</v>
      </c>
      <c r="C643" s="51">
        <v>438107</v>
      </c>
      <c r="D643" s="40">
        <v>637</v>
      </c>
    </row>
    <row r="644" spans="1:4">
      <c r="A644" s="47">
        <v>431115</v>
      </c>
      <c r="B644" s="55" t="s">
        <v>892</v>
      </c>
      <c r="C644" s="51">
        <v>431115</v>
      </c>
      <c r="D644" s="40">
        <v>638</v>
      </c>
    </row>
    <row r="645" spans="1:4">
      <c r="A645" s="47">
        <v>432118</v>
      </c>
      <c r="B645" s="55" t="s">
        <v>891</v>
      </c>
      <c r="C645" s="51">
        <v>432118</v>
      </c>
      <c r="D645" s="40">
        <v>639</v>
      </c>
    </row>
    <row r="646" spans="1:4">
      <c r="A646" s="47">
        <v>433118</v>
      </c>
      <c r="B646" s="55" t="s">
        <v>890</v>
      </c>
      <c r="C646" s="51">
        <v>433118</v>
      </c>
      <c r="D646" s="40">
        <v>640</v>
      </c>
    </row>
    <row r="647" spans="1:4">
      <c r="A647" s="47">
        <v>434118</v>
      </c>
      <c r="B647" s="55" t="s">
        <v>889</v>
      </c>
      <c r="C647" s="51">
        <v>434118</v>
      </c>
      <c r="D647" s="40">
        <v>641</v>
      </c>
    </row>
    <row r="648" spans="1:4">
      <c r="A648" s="47">
        <v>432119</v>
      </c>
      <c r="B648" s="55" t="s">
        <v>888</v>
      </c>
      <c r="C648" s="51">
        <v>432119</v>
      </c>
      <c r="D648" s="40">
        <v>642</v>
      </c>
    </row>
    <row r="649" spans="1:4">
      <c r="A649" s="47">
        <v>433119</v>
      </c>
      <c r="B649" s="55" t="s">
        <v>887</v>
      </c>
      <c r="C649" s="51">
        <v>433119</v>
      </c>
      <c r="D649" s="40">
        <v>643</v>
      </c>
    </row>
    <row r="650" spans="1:4">
      <c r="A650" s="47">
        <v>434119</v>
      </c>
      <c r="B650" s="55" t="s">
        <v>886</v>
      </c>
      <c r="C650" s="51">
        <v>434119</v>
      </c>
      <c r="D650" s="40">
        <v>644</v>
      </c>
    </row>
    <row r="651" spans="1:4">
      <c r="A651" s="47">
        <v>431111</v>
      </c>
      <c r="B651" s="55" t="s">
        <v>885</v>
      </c>
      <c r="C651" s="51">
        <v>431111</v>
      </c>
      <c r="D651" s="40">
        <v>645</v>
      </c>
    </row>
    <row r="652" spans="1:4">
      <c r="A652" s="47">
        <v>432120</v>
      </c>
      <c r="B652" s="55" t="s">
        <v>884</v>
      </c>
      <c r="C652" s="51">
        <v>432120</v>
      </c>
      <c r="D652" s="40">
        <v>646</v>
      </c>
    </row>
    <row r="653" spans="1:4">
      <c r="A653" s="47">
        <v>433120</v>
      </c>
      <c r="B653" s="55" t="s">
        <v>883</v>
      </c>
      <c r="C653" s="51">
        <v>433120</v>
      </c>
      <c r="D653" s="40">
        <v>647</v>
      </c>
    </row>
    <row r="654" spans="1:4">
      <c r="A654" s="47">
        <v>434120</v>
      </c>
      <c r="B654" s="55" t="s">
        <v>882</v>
      </c>
      <c r="C654" s="51">
        <v>434120</v>
      </c>
      <c r="D654" s="40">
        <v>648</v>
      </c>
    </row>
    <row r="655" spans="1:4">
      <c r="A655" s="47">
        <v>432315</v>
      </c>
      <c r="B655" s="55" t="s">
        <v>881</v>
      </c>
      <c r="C655" s="51">
        <v>432315</v>
      </c>
      <c r="D655" s="40">
        <v>649</v>
      </c>
    </row>
    <row r="656" spans="1:4">
      <c r="A656" s="47">
        <v>434315</v>
      </c>
      <c r="B656" s="55" t="s">
        <v>880</v>
      </c>
      <c r="C656" s="51">
        <v>434315</v>
      </c>
      <c r="D656" s="40">
        <v>650</v>
      </c>
    </row>
    <row r="657" spans="1:4">
      <c r="A657" s="47">
        <v>432121</v>
      </c>
      <c r="B657" s="55" t="s">
        <v>879</v>
      </c>
      <c r="C657" s="51">
        <v>432121</v>
      </c>
      <c r="D657" s="40">
        <v>651</v>
      </c>
    </row>
    <row r="658" spans="1:4">
      <c r="A658" s="47">
        <v>433121</v>
      </c>
      <c r="B658" s="55" t="s">
        <v>878</v>
      </c>
      <c r="C658" s="51">
        <v>433121</v>
      </c>
      <c r="D658" s="40">
        <v>652</v>
      </c>
    </row>
    <row r="659" spans="1:4">
      <c r="A659" s="47">
        <v>434121</v>
      </c>
      <c r="B659" s="55" t="s">
        <v>877</v>
      </c>
      <c r="C659" s="51">
        <v>434121</v>
      </c>
      <c r="D659" s="40">
        <v>653</v>
      </c>
    </row>
    <row r="660" spans="1:4">
      <c r="A660" s="47">
        <v>432122</v>
      </c>
      <c r="B660" s="55" t="s">
        <v>876</v>
      </c>
      <c r="C660" s="51">
        <v>432122</v>
      </c>
      <c r="D660" s="40">
        <v>654</v>
      </c>
    </row>
    <row r="661" spans="1:4">
      <c r="A661" s="47">
        <v>433122</v>
      </c>
      <c r="B661" s="55" t="s">
        <v>875</v>
      </c>
      <c r="C661" s="51">
        <v>433122</v>
      </c>
      <c r="D661" s="40">
        <v>655</v>
      </c>
    </row>
    <row r="662" spans="1:4">
      <c r="A662" s="47">
        <v>434122</v>
      </c>
      <c r="B662" s="55" t="s">
        <v>874</v>
      </c>
      <c r="C662" s="51">
        <v>434122</v>
      </c>
      <c r="D662" s="40">
        <v>656</v>
      </c>
    </row>
    <row r="663" spans="1:4">
      <c r="A663" s="47">
        <v>434101</v>
      </c>
      <c r="B663" s="55" t="s">
        <v>873</v>
      </c>
      <c r="C663" s="51">
        <v>434101</v>
      </c>
      <c r="D663" s="40">
        <v>657</v>
      </c>
    </row>
    <row r="664" spans="1:4">
      <c r="A664" s="47">
        <v>432102</v>
      </c>
      <c r="B664" s="55" t="s">
        <v>872</v>
      </c>
      <c r="C664" s="51">
        <v>432102</v>
      </c>
      <c r="D664" s="40">
        <v>658</v>
      </c>
    </row>
    <row r="665" spans="1:4">
      <c r="A665" s="47">
        <v>431103</v>
      </c>
      <c r="B665" s="55" t="s">
        <v>871</v>
      </c>
      <c r="C665" s="51">
        <v>431103</v>
      </c>
      <c r="D665" s="40">
        <v>659</v>
      </c>
    </row>
    <row r="666" spans="1:4">
      <c r="A666" s="47">
        <v>433102</v>
      </c>
      <c r="B666" s="55" t="s">
        <v>870</v>
      </c>
      <c r="C666" s="51">
        <v>433102</v>
      </c>
      <c r="D666" s="40">
        <v>660</v>
      </c>
    </row>
    <row r="667" spans="1:4">
      <c r="A667" s="47">
        <v>434102</v>
      </c>
      <c r="B667" s="55" t="s">
        <v>869</v>
      </c>
      <c r="C667" s="51">
        <v>434102</v>
      </c>
      <c r="D667" s="40">
        <v>661</v>
      </c>
    </row>
    <row r="668" spans="1:4">
      <c r="A668" s="47">
        <v>432103</v>
      </c>
      <c r="B668" s="55" t="s">
        <v>868</v>
      </c>
      <c r="C668" s="51">
        <v>432103</v>
      </c>
      <c r="D668" s="40">
        <v>662</v>
      </c>
    </row>
    <row r="669" spans="1:4">
      <c r="A669" s="47">
        <v>433103</v>
      </c>
      <c r="B669" s="55" t="s">
        <v>867</v>
      </c>
      <c r="C669" s="51">
        <v>433103</v>
      </c>
      <c r="D669" s="40">
        <v>663</v>
      </c>
    </row>
    <row r="670" spans="1:4">
      <c r="A670" s="47">
        <v>434103</v>
      </c>
      <c r="B670" s="55" t="s">
        <v>866</v>
      </c>
      <c r="C670" s="51">
        <v>434103</v>
      </c>
      <c r="D670" s="40">
        <v>664</v>
      </c>
    </row>
    <row r="671" spans="1:4">
      <c r="A671" s="47">
        <v>432104</v>
      </c>
      <c r="B671" s="55" t="s">
        <v>865</v>
      </c>
      <c r="C671" s="51">
        <v>432104</v>
      </c>
      <c r="D671" s="40">
        <v>665</v>
      </c>
    </row>
    <row r="672" spans="1:4">
      <c r="A672" s="47">
        <v>433104</v>
      </c>
      <c r="B672" s="55" t="s">
        <v>864</v>
      </c>
      <c r="C672" s="51">
        <v>433104</v>
      </c>
      <c r="D672" s="40">
        <v>666</v>
      </c>
    </row>
    <row r="673" spans="1:4">
      <c r="A673" s="47">
        <v>434104</v>
      </c>
      <c r="B673" s="55" t="s">
        <v>862</v>
      </c>
      <c r="C673" s="51">
        <v>434104</v>
      </c>
      <c r="D673" s="40">
        <v>667</v>
      </c>
    </row>
    <row r="674" spans="1:4">
      <c r="A674" s="47">
        <v>432105</v>
      </c>
      <c r="B674" s="55" t="s">
        <v>863</v>
      </c>
      <c r="C674" s="51">
        <v>432105</v>
      </c>
      <c r="D674" s="40">
        <v>668</v>
      </c>
    </row>
    <row r="675" spans="1:4">
      <c r="A675" s="47">
        <v>433105</v>
      </c>
      <c r="B675" s="55" t="s">
        <v>861</v>
      </c>
      <c r="C675" s="51">
        <v>433105</v>
      </c>
      <c r="D675" s="40">
        <v>669</v>
      </c>
    </row>
    <row r="676" spans="1:4">
      <c r="A676" s="47">
        <v>434105</v>
      </c>
      <c r="B676" s="55" t="s">
        <v>860</v>
      </c>
      <c r="C676" s="51">
        <v>434105</v>
      </c>
      <c r="D676" s="40">
        <v>670</v>
      </c>
    </row>
    <row r="677" spans="1:4">
      <c r="A677" s="47">
        <v>432106</v>
      </c>
      <c r="B677" s="55" t="s">
        <v>859</v>
      </c>
      <c r="C677" s="51">
        <v>432106</v>
      </c>
      <c r="D677" s="40">
        <v>671</v>
      </c>
    </row>
    <row r="678" spans="1:4">
      <c r="A678" s="47">
        <v>433106</v>
      </c>
      <c r="B678" s="55" t="s">
        <v>858</v>
      </c>
      <c r="C678" s="51">
        <v>433106</v>
      </c>
      <c r="D678" s="40">
        <v>672</v>
      </c>
    </row>
    <row r="679" spans="1:4">
      <c r="A679" s="47">
        <v>434106</v>
      </c>
      <c r="B679" s="55" t="s">
        <v>857</v>
      </c>
      <c r="C679" s="51">
        <v>434106</v>
      </c>
      <c r="D679" s="40">
        <v>673</v>
      </c>
    </row>
    <row r="680" spans="1:4">
      <c r="A680" s="47">
        <v>433107</v>
      </c>
      <c r="B680" s="55" t="s">
        <v>856</v>
      </c>
      <c r="C680" s="51">
        <v>433107</v>
      </c>
      <c r="D680" s="40">
        <v>674</v>
      </c>
    </row>
    <row r="681" spans="1:4">
      <c r="A681" s="47">
        <v>432107</v>
      </c>
      <c r="B681" s="55" t="s">
        <v>855</v>
      </c>
      <c r="C681" s="51">
        <v>432107</v>
      </c>
      <c r="D681" s="40">
        <v>675</v>
      </c>
    </row>
    <row r="682" spans="1:4">
      <c r="A682" s="47">
        <v>434107</v>
      </c>
      <c r="B682" s="55" t="s">
        <v>854</v>
      </c>
      <c r="C682" s="51">
        <v>434107</v>
      </c>
      <c r="D682" s="40">
        <v>676</v>
      </c>
    </row>
    <row r="683" spans="1:4">
      <c r="A683" s="47">
        <v>432108</v>
      </c>
      <c r="B683" s="55" t="s">
        <v>853</v>
      </c>
      <c r="C683" s="51">
        <v>432108</v>
      </c>
      <c r="D683" s="40">
        <v>677</v>
      </c>
    </row>
    <row r="684" spans="1:4">
      <c r="A684" s="47">
        <v>433108</v>
      </c>
      <c r="B684" s="55" t="s">
        <v>852</v>
      </c>
      <c r="C684" s="51">
        <v>433108</v>
      </c>
      <c r="D684" s="40">
        <v>678</v>
      </c>
    </row>
    <row r="685" spans="1:4">
      <c r="A685" s="47">
        <v>434108</v>
      </c>
      <c r="B685" s="55" t="s">
        <v>851</v>
      </c>
      <c r="C685" s="51">
        <v>434108</v>
      </c>
      <c r="D685" s="40">
        <v>679</v>
      </c>
    </row>
    <row r="686" spans="1:4">
      <c r="A686" s="47">
        <v>432109</v>
      </c>
      <c r="B686" s="55" t="s">
        <v>850</v>
      </c>
      <c r="C686" s="51">
        <v>432109</v>
      </c>
      <c r="D686" s="40">
        <v>680</v>
      </c>
    </row>
    <row r="687" spans="1:4">
      <c r="A687" s="47">
        <v>433109</v>
      </c>
      <c r="B687" s="55" t="s">
        <v>849</v>
      </c>
      <c r="C687" s="51">
        <v>433109</v>
      </c>
      <c r="D687" s="40">
        <v>681</v>
      </c>
    </row>
    <row r="688" spans="1:4">
      <c r="A688" s="47">
        <v>434109</v>
      </c>
      <c r="B688" s="55" t="s">
        <v>848</v>
      </c>
      <c r="C688" s="51">
        <v>434109</v>
      </c>
      <c r="D688" s="40">
        <v>682</v>
      </c>
    </row>
    <row r="689" spans="1:4">
      <c r="A689" s="47">
        <v>432110</v>
      </c>
      <c r="B689" s="55" t="s">
        <v>847</v>
      </c>
      <c r="C689" s="51">
        <v>432110</v>
      </c>
      <c r="D689" s="40">
        <v>683</v>
      </c>
    </row>
    <row r="690" spans="1:4">
      <c r="A690" s="47">
        <v>432111</v>
      </c>
      <c r="B690" s="55" t="s">
        <v>846</v>
      </c>
      <c r="C690" s="51">
        <v>432111</v>
      </c>
      <c r="D690" s="40">
        <v>684</v>
      </c>
    </row>
    <row r="691" spans="1:4">
      <c r="A691" s="47">
        <v>431105</v>
      </c>
      <c r="B691" s="55" t="s">
        <v>845</v>
      </c>
      <c r="C691" s="51">
        <v>431105</v>
      </c>
      <c r="D691" s="40">
        <v>685</v>
      </c>
    </row>
    <row r="692" spans="1:4">
      <c r="A692" s="47">
        <v>432112</v>
      </c>
      <c r="B692" s="55" t="s">
        <v>844</v>
      </c>
      <c r="C692" s="51">
        <v>432112</v>
      </c>
      <c r="D692" s="40">
        <v>686</v>
      </c>
    </row>
    <row r="693" spans="1:4">
      <c r="A693" s="47">
        <v>433112</v>
      </c>
      <c r="B693" s="55" t="s">
        <v>843</v>
      </c>
      <c r="C693" s="51">
        <v>433112</v>
      </c>
      <c r="D693" s="40">
        <v>687</v>
      </c>
    </row>
    <row r="694" spans="1:4">
      <c r="A694" s="47">
        <v>434112</v>
      </c>
      <c r="B694" s="55" t="s">
        <v>842</v>
      </c>
      <c r="C694" s="51">
        <v>434112</v>
      </c>
      <c r="D694" s="40">
        <v>688</v>
      </c>
    </row>
    <row r="695" spans="1:4">
      <c r="A695" s="47">
        <v>432113</v>
      </c>
      <c r="B695" s="55" t="s">
        <v>841</v>
      </c>
      <c r="C695" s="51">
        <v>432113</v>
      </c>
      <c r="D695" s="40">
        <v>689</v>
      </c>
    </row>
    <row r="696" spans="1:4">
      <c r="A696" s="47">
        <v>433113</v>
      </c>
      <c r="B696" s="55" t="s">
        <v>840</v>
      </c>
      <c r="C696" s="51">
        <v>433113</v>
      </c>
      <c r="D696" s="40">
        <v>690</v>
      </c>
    </row>
    <row r="697" spans="1:4">
      <c r="A697" s="47">
        <v>434113</v>
      </c>
      <c r="B697" s="55" t="s">
        <v>839</v>
      </c>
      <c r="C697" s="51">
        <v>434113</v>
      </c>
      <c r="D697" s="40">
        <v>691</v>
      </c>
    </row>
    <row r="698" spans="1:4">
      <c r="A698" s="47">
        <v>433114</v>
      </c>
      <c r="B698" s="55" t="s">
        <v>838</v>
      </c>
      <c r="C698" s="51">
        <v>433114</v>
      </c>
      <c r="D698" s="40">
        <v>692</v>
      </c>
    </row>
    <row r="699" spans="1:4">
      <c r="A699" s="47">
        <v>421301</v>
      </c>
      <c r="B699" s="55" t="s">
        <v>837</v>
      </c>
      <c r="C699" s="51">
        <v>421301</v>
      </c>
      <c r="D699" s="40">
        <v>693</v>
      </c>
    </row>
    <row r="700" spans="1:4">
      <c r="A700" s="47">
        <v>421303</v>
      </c>
      <c r="B700" s="55" t="s">
        <v>836</v>
      </c>
      <c r="C700" s="51">
        <v>421303</v>
      </c>
      <c r="D700" s="40">
        <v>694</v>
      </c>
    </row>
    <row r="701" spans="1:4">
      <c r="A701" s="47">
        <v>421102</v>
      </c>
      <c r="B701" s="55" t="s">
        <v>835</v>
      </c>
      <c r="C701" s="51">
        <v>421102</v>
      </c>
      <c r="D701" s="40">
        <v>695</v>
      </c>
    </row>
    <row r="702" spans="1:4">
      <c r="A702" s="47">
        <v>422102</v>
      </c>
      <c r="B702" s="55" t="s">
        <v>834</v>
      </c>
      <c r="C702" s="51">
        <v>422102</v>
      </c>
      <c r="D702" s="40">
        <v>696</v>
      </c>
    </row>
    <row r="703" spans="1:4">
      <c r="A703" s="47">
        <v>421103</v>
      </c>
      <c r="B703" s="55" t="s">
        <v>833</v>
      </c>
      <c r="C703" s="51">
        <v>421103</v>
      </c>
      <c r="D703" s="40">
        <v>697</v>
      </c>
    </row>
    <row r="704" spans="1:4">
      <c r="A704" s="47">
        <v>422103</v>
      </c>
      <c r="B704" s="55" t="s">
        <v>832</v>
      </c>
      <c r="C704" s="51">
        <v>422103</v>
      </c>
      <c r="D704" s="40">
        <v>698</v>
      </c>
    </row>
    <row r="705" spans="1:4">
      <c r="A705" s="47">
        <v>421104</v>
      </c>
      <c r="B705" s="55" t="s">
        <v>831</v>
      </c>
      <c r="C705" s="51">
        <v>421104</v>
      </c>
      <c r="D705" s="40">
        <v>699</v>
      </c>
    </row>
    <row r="706" spans="1:4">
      <c r="A706" s="47">
        <v>421104</v>
      </c>
      <c r="B706" s="55" t="s">
        <v>831</v>
      </c>
      <c r="C706" s="51">
        <v>421104</v>
      </c>
      <c r="D706" s="40">
        <v>700</v>
      </c>
    </row>
    <row r="707" spans="1:4">
      <c r="A707" s="47">
        <v>422104</v>
      </c>
      <c r="B707" s="55" t="s">
        <v>830</v>
      </c>
      <c r="C707" s="51">
        <v>422104</v>
      </c>
      <c r="D707" s="40">
        <v>701</v>
      </c>
    </row>
    <row r="708" spans="1:4">
      <c r="A708" s="47">
        <v>422104</v>
      </c>
      <c r="B708" s="55" t="s">
        <v>830</v>
      </c>
      <c r="C708" s="51">
        <v>422104</v>
      </c>
      <c r="D708" s="40">
        <v>702</v>
      </c>
    </row>
    <row r="709" spans="1:4">
      <c r="A709" s="47">
        <v>421105</v>
      </c>
      <c r="B709" s="55" t="s">
        <v>829</v>
      </c>
      <c r="C709" s="51">
        <v>421105</v>
      </c>
      <c r="D709" s="40">
        <v>703</v>
      </c>
    </row>
    <row r="710" spans="1:4">
      <c r="A710" s="47">
        <v>422105</v>
      </c>
      <c r="B710" s="55" t="s">
        <v>828</v>
      </c>
      <c r="C710" s="51">
        <v>422105</v>
      </c>
      <c r="D710" s="40">
        <v>704</v>
      </c>
    </row>
    <row r="711" spans="1:4">
      <c r="A711" s="47">
        <v>432320</v>
      </c>
      <c r="B711" s="55" t="s">
        <v>802</v>
      </c>
      <c r="C711" s="51">
        <v>432320</v>
      </c>
      <c r="D711" s="40">
        <v>705</v>
      </c>
    </row>
    <row r="712" spans="1:4">
      <c r="A712" s="47">
        <v>432321</v>
      </c>
      <c r="B712" s="55" t="s">
        <v>803</v>
      </c>
      <c r="C712" s="51">
        <v>432321</v>
      </c>
      <c r="D712" s="40">
        <v>706</v>
      </c>
    </row>
    <row r="713" spans="1:4">
      <c r="A713" s="47">
        <v>440004</v>
      </c>
      <c r="B713" s="55" t="s">
        <v>804</v>
      </c>
      <c r="C713" s="51">
        <v>440004</v>
      </c>
      <c r="D713" s="40">
        <v>707</v>
      </c>
    </row>
    <row r="714" spans="1:4">
      <c r="A714" s="47">
        <v>440005</v>
      </c>
      <c r="B714" s="55" t="s">
        <v>805</v>
      </c>
      <c r="C714" s="51">
        <v>440005</v>
      </c>
      <c r="D714" s="40">
        <v>708</v>
      </c>
    </row>
    <row r="715" spans="1:4">
      <c r="A715" s="47">
        <v>985648</v>
      </c>
      <c r="B715" s="55" t="s">
        <v>934</v>
      </c>
      <c r="C715" s="51">
        <v>985648</v>
      </c>
      <c r="D715" s="40">
        <v>200</v>
      </c>
    </row>
    <row r="716" spans="1:4">
      <c r="A716" s="177"/>
      <c r="B716" s="178"/>
      <c r="C716" s="179"/>
      <c r="D716" s="180"/>
    </row>
    <row r="717" spans="1:4">
      <c r="A717" s="177"/>
      <c r="B717" s="178"/>
      <c r="C717" s="179"/>
      <c r="D717" s="180"/>
    </row>
    <row r="718" spans="1:4">
      <c r="A718" s="177"/>
      <c r="B718" s="178"/>
      <c r="C718" s="179"/>
      <c r="D718" s="180"/>
    </row>
    <row r="719" spans="1:4">
      <c r="A719" s="177"/>
      <c r="B719" s="178"/>
      <c r="C719" s="179"/>
      <c r="D719" s="180"/>
    </row>
    <row r="720" spans="1:4">
      <c r="B720" s="56"/>
      <c r="C720" s="19"/>
      <c r="D720"/>
    </row>
    <row r="721" spans="2:4">
      <c r="B721" s="56"/>
      <c r="C721" s="19"/>
      <c r="D721"/>
    </row>
    <row r="722" spans="2:4">
      <c r="B722" s="56"/>
      <c r="C722" s="19"/>
      <c r="D722"/>
    </row>
    <row r="723" spans="2:4">
      <c r="B723" s="56"/>
      <c r="C723" s="19"/>
      <c r="D723"/>
    </row>
    <row r="724" spans="2:4">
      <c r="B724" s="56"/>
      <c r="C724" s="19"/>
      <c r="D724"/>
    </row>
    <row r="725" spans="2:4">
      <c r="B725" s="56"/>
      <c r="C725" s="19"/>
      <c r="D725"/>
    </row>
    <row r="726" spans="2:4">
      <c r="B726" s="56"/>
      <c r="C726" s="19"/>
      <c r="D726"/>
    </row>
    <row r="727" spans="2:4">
      <c r="B727" s="56"/>
      <c r="C727" s="19"/>
      <c r="D727"/>
    </row>
    <row r="728" spans="2:4">
      <c r="B728" s="56"/>
      <c r="C728" s="19"/>
      <c r="D728"/>
    </row>
    <row r="729" spans="2:4">
      <c r="B729" s="56"/>
      <c r="C729" s="19"/>
      <c r="D729"/>
    </row>
    <row r="730" spans="2:4">
      <c r="B730" s="56"/>
      <c r="C730" s="19"/>
      <c r="D730"/>
    </row>
    <row r="731" spans="2:4">
      <c r="B731" s="56"/>
      <c r="C731" s="19"/>
      <c r="D731"/>
    </row>
    <row r="732" spans="2:4">
      <c r="B732" s="56"/>
      <c r="C732" s="19"/>
      <c r="D732"/>
    </row>
    <row r="733" spans="2:4">
      <c r="B733" s="56"/>
      <c r="C733" s="19"/>
      <c r="D733"/>
    </row>
    <row r="734" spans="2:4">
      <c r="B734" s="56"/>
      <c r="C734" s="19"/>
      <c r="D734"/>
    </row>
    <row r="735" spans="2:4">
      <c r="B735" s="56"/>
      <c r="C735" s="19"/>
      <c r="D735"/>
    </row>
    <row r="736" spans="2:4">
      <c r="B736" s="56"/>
      <c r="C736" s="19"/>
      <c r="D736"/>
    </row>
    <row r="737" spans="2:4">
      <c r="B737" s="56"/>
      <c r="C737" s="19"/>
      <c r="D737"/>
    </row>
    <row r="738" spans="2:4">
      <c r="B738" s="56"/>
      <c r="C738" s="19"/>
      <c r="D738"/>
    </row>
    <row r="739" spans="2:4">
      <c r="B739" s="56"/>
      <c r="C739" s="19"/>
      <c r="D739"/>
    </row>
    <row r="740" spans="2:4">
      <c r="B740" s="56"/>
      <c r="C740" s="19"/>
      <c r="D740"/>
    </row>
    <row r="741" spans="2:4">
      <c r="B741" s="56"/>
      <c r="C741" s="19"/>
      <c r="D741"/>
    </row>
    <row r="742" spans="2:4">
      <c r="B742" s="56"/>
      <c r="C742" s="19"/>
      <c r="D742"/>
    </row>
    <row r="743" spans="2:4">
      <c r="B743" s="56"/>
      <c r="C743" s="19"/>
      <c r="D743"/>
    </row>
    <row r="744" spans="2:4">
      <c r="B744" s="56"/>
      <c r="C744" s="19"/>
      <c r="D744"/>
    </row>
    <row r="745" spans="2:4">
      <c r="B745" s="56"/>
      <c r="C745" s="19"/>
      <c r="D745"/>
    </row>
    <row r="746" spans="2:4">
      <c r="B746" s="56"/>
      <c r="C746" s="19"/>
      <c r="D746"/>
    </row>
    <row r="747" spans="2:4">
      <c r="B747" s="56"/>
      <c r="C747" s="19"/>
      <c r="D747"/>
    </row>
    <row r="748" spans="2:4">
      <c r="B748" s="56"/>
      <c r="C748" s="19"/>
      <c r="D748"/>
    </row>
    <row r="749" spans="2:4">
      <c r="B749" s="56"/>
      <c r="C749" s="19"/>
      <c r="D749"/>
    </row>
    <row r="750" spans="2:4">
      <c r="B750" s="56"/>
      <c r="C750" s="19"/>
      <c r="D750"/>
    </row>
    <row r="751" spans="2:4">
      <c r="B751" s="56"/>
      <c r="C751" s="19"/>
      <c r="D751"/>
    </row>
    <row r="752" spans="2:4">
      <c r="B752" s="56"/>
      <c r="C752" s="19"/>
      <c r="D752"/>
    </row>
    <row r="753" spans="2:4">
      <c r="B753" s="56"/>
      <c r="C753" s="19"/>
      <c r="D753"/>
    </row>
    <row r="754" spans="2:4">
      <c r="B754" s="56"/>
      <c r="C754" s="19"/>
      <c r="D754"/>
    </row>
    <row r="755" spans="2:4">
      <c r="B755" s="56"/>
      <c r="C755" s="19"/>
      <c r="D755"/>
    </row>
    <row r="756" spans="2:4">
      <c r="B756" s="56"/>
      <c r="C756" s="19"/>
      <c r="D756"/>
    </row>
    <row r="757" spans="2:4">
      <c r="B757" s="56"/>
      <c r="C757" s="19"/>
      <c r="D757"/>
    </row>
    <row r="758" spans="2:4">
      <c r="B758" s="56"/>
      <c r="C758" s="19"/>
      <c r="D758"/>
    </row>
    <row r="759" spans="2:4">
      <c r="B759" s="56"/>
      <c r="C759" s="19"/>
      <c r="D759"/>
    </row>
    <row r="760" spans="2:4">
      <c r="B760" s="56"/>
      <c r="C760" s="19"/>
      <c r="D760"/>
    </row>
    <row r="761" spans="2:4">
      <c r="B761" s="56"/>
      <c r="C761" s="19"/>
      <c r="D761"/>
    </row>
    <row r="762" spans="2:4">
      <c r="B762" s="56"/>
      <c r="C762" s="19"/>
      <c r="D762"/>
    </row>
    <row r="763" spans="2:4">
      <c r="B763" s="56"/>
      <c r="C763" s="19"/>
      <c r="D763"/>
    </row>
    <row r="764" spans="2:4">
      <c r="B764" s="56"/>
      <c r="C764" s="19"/>
      <c r="D764"/>
    </row>
    <row r="765" spans="2:4">
      <c r="B765" s="56"/>
      <c r="C765" s="19"/>
      <c r="D765"/>
    </row>
    <row r="766" spans="2:4">
      <c r="B766" s="56"/>
      <c r="C766" s="19"/>
      <c r="D766"/>
    </row>
    <row r="767" spans="2:4">
      <c r="B767" s="56"/>
      <c r="C767" s="19"/>
      <c r="D767"/>
    </row>
    <row r="768" spans="2:4">
      <c r="B768" s="56"/>
      <c r="C768" s="19"/>
      <c r="D768"/>
    </row>
    <row r="769" spans="2:4">
      <c r="B769" s="56"/>
      <c r="C769" s="19"/>
      <c r="D769"/>
    </row>
    <row r="770" spans="2:4">
      <c r="B770" s="56"/>
      <c r="C770" s="19"/>
      <c r="D770"/>
    </row>
    <row r="771" spans="2:4">
      <c r="B771" s="56"/>
      <c r="C771" s="19"/>
      <c r="D771"/>
    </row>
    <row r="772" spans="2:4">
      <c r="B772" s="56"/>
      <c r="C772" s="19"/>
      <c r="D772"/>
    </row>
    <row r="773" spans="2:4">
      <c r="B773" s="56"/>
      <c r="C773" s="19"/>
      <c r="D773"/>
    </row>
    <row r="774" spans="2:4">
      <c r="B774" s="56"/>
      <c r="C774" s="19"/>
      <c r="D774"/>
    </row>
    <row r="775" spans="2:4">
      <c r="B775" s="56"/>
      <c r="C775" s="19"/>
      <c r="D775"/>
    </row>
    <row r="776" spans="2:4">
      <c r="B776" s="56"/>
      <c r="C776" s="19"/>
      <c r="D776"/>
    </row>
    <row r="777" spans="2:4">
      <c r="B777" s="56"/>
      <c r="C777" s="19"/>
      <c r="D777"/>
    </row>
    <row r="778" spans="2:4">
      <c r="B778" s="56"/>
      <c r="C778" s="19"/>
      <c r="D778"/>
    </row>
    <row r="779" spans="2:4">
      <c r="B779" s="56"/>
      <c r="C779" s="19"/>
      <c r="D779"/>
    </row>
    <row r="780" spans="2:4">
      <c r="B780" s="56"/>
      <c r="C780" s="19"/>
      <c r="D780"/>
    </row>
    <row r="781" spans="2:4">
      <c r="B781" s="56"/>
      <c r="C781" s="19"/>
      <c r="D781"/>
    </row>
    <row r="782" spans="2:4">
      <c r="B782" s="56"/>
      <c r="C782" s="19"/>
      <c r="D782"/>
    </row>
    <row r="783" spans="2:4">
      <c r="B783" s="56"/>
      <c r="C783" s="19"/>
      <c r="D783"/>
    </row>
    <row r="784" spans="2:4">
      <c r="B784" s="56"/>
      <c r="C784" s="19"/>
      <c r="D784"/>
    </row>
    <row r="785" spans="2:4">
      <c r="B785" s="56"/>
      <c r="C785" s="19"/>
      <c r="D785"/>
    </row>
    <row r="786" spans="2:4">
      <c r="B786" s="56"/>
      <c r="C786" s="19"/>
      <c r="D786"/>
    </row>
    <row r="787" spans="2:4">
      <c r="B787" s="56"/>
      <c r="C787" s="19"/>
      <c r="D787"/>
    </row>
    <row r="788" spans="2:4">
      <c r="B788" s="56"/>
      <c r="C788" s="19"/>
      <c r="D788"/>
    </row>
    <row r="789" spans="2:4">
      <c r="B789" s="56"/>
      <c r="C789" s="19"/>
      <c r="D789"/>
    </row>
    <row r="790" spans="2:4">
      <c r="B790" s="56"/>
      <c r="C790" s="19"/>
      <c r="D790"/>
    </row>
    <row r="791" spans="2:4">
      <c r="B791" s="56"/>
      <c r="C791" s="19"/>
      <c r="D791"/>
    </row>
    <row r="792" spans="2:4">
      <c r="B792" s="56"/>
      <c r="C792" s="19"/>
      <c r="D792"/>
    </row>
    <row r="793" spans="2:4">
      <c r="B793" s="56"/>
      <c r="C793" s="19"/>
      <c r="D793"/>
    </row>
    <row r="794" spans="2:4">
      <c r="B794" s="56"/>
      <c r="C794" s="19"/>
      <c r="D794"/>
    </row>
    <row r="795" spans="2:4">
      <c r="B795" s="56"/>
      <c r="C795" s="19"/>
      <c r="D795"/>
    </row>
    <row r="796" spans="2:4">
      <c r="B796" s="56"/>
      <c r="C796" s="19"/>
      <c r="D796"/>
    </row>
    <row r="797" spans="2:4">
      <c r="B797" s="56"/>
      <c r="C797" s="19"/>
      <c r="D797"/>
    </row>
    <row r="798" spans="2:4">
      <c r="B798" s="56"/>
      <c r="C798" s="19"/>
      <c r="D798"/>
    </row>
    <row r="799" spans="2:4">
      <c r="B799" s="56"/>
      <c r="C799" s="19"/>
      <c r="D799"/>
    </row>
    <row r="800" spans="2:4">
      <c r="B800" s="56"/>
      <c r="C800" s="19"/>
      <c r="D800"/>
    </row>
    <row r="801" spans="2:4">
      <c r="B801" s="56"/>
      <c r="C801" s="19"/>
      <c r="D801"/>
    </row>
    <row r="802" spans="2:4">
      <c r="B802" s="56"/>
      <c r="C802" s="19"/>
      <c r="D802"/>
    </row>
    <row r="803" spans="2:4">
      <c r="B803" s="56"/>
      <c r="C803" s="19"/>
      <c r="D803"/>
    </row>
    <row r="804" spans="2:4">
      <c r="B804" s="56"/>
      <c r="C804" s="19"/>
      <c r="D804"/>
    </row>
    <row r="805" spans="2:4">
      <c r="B805" s="56"/>
      <c r="C805" s="19"/>
      <c r="D805"/>
    </row>
    <row r="806" spans="2:4">
      <c r="B806" s="56"/>
      <c r="C806" s="19"/>
      <c r="D806"/>
    </row>
    <row r="807" spans="2:4">
      <c r="B807" s="56"/>
      <c r="C807" s="19"/>
      <c r="D807"/>
    </row>
    <row r="808" spans="2:4">
      <c r="B808" s="56"/>
      <c r="C808" s="19"/>
      <c r="D808"/>
    </row>
    <row r="809" spans="2:4">
      <c r="B809" s="56"/>
      <c r="C809" s="19"/>
      <c r="D809"/>
    </row>
    <row r="810" spans="2:4">
      <c r="B810" s="56"/>
      <c r="C810" s="19"/>
      <c r="D810"/>
    </row>
    <row r="811" spans="2:4">
      <c r="B811" s="56"/>
      <c r="C811" s="19"/>
      <c r="D811"/>
    </row>
    <row r="812" spans="2:4">
      <c r="B812" s="56"/>
      <c r="C812" s="19"/>
      <c r="D812"/>
    </row>
    <row r="813" spans="2:4">
      <c r="B813" s="56"/>
      <c r="C813" s="19"/>
      <c r="D813"/>
    </row>
    <row r="814" spans="2:4">
      <c r="B814" s="56"/>
      <c r="C814" s="19"/>
      <c r="D814"/>
    </row>
    <row r="815" spans="2:4">
      <c r="B815" s="56"/>
      <c r="C815" s="19"/>
      <c r="D815"/>
    </row>
    <row r="816" spans="2:4">
      <c r="B816" s="56"/>
      <c r="C816" s="19"/>
      <c r="D816"/>
    </row>
    <row r="817" spans="2:4">
      <c r="B817" s="56"/>
      <c r="C817" s="19"/>
      <c r="D817"/>
    </row>
    <row r="818" spans="2:4">
      <c r="B818" s="56"/>
      <c r="C818" s="19"/>
      <c r="D818"/>
    </row>
    <row r="819" spans="2:4">
      <c r="B819" s="56"/>
      <c r="C819" s="19"/>
      <c r="D819"/>
    </row>
    <row r="820" spans="2:4">
      <c r="B820" s="56"/>
      <c r="C820" s="19"/>
      <c r="D820"/>
    </row>
    <row r="821" spans="2:4">
      <c r="B821" s="56"/>
      <c r="C821" s="19"/>
      <c r="D821"/>
    </row>
    <row r="822" spans="2:4">
      <c r="B822" s="56"/>
      <c r="C822" s="19"/>
      <c r="D822"/>
    </row>
    <row r="823" spans="2:4">
      <c r="B823" s="56"/>
      <c r="C823" s="19"/>
      <c r="D823"/>
    </row>
    <row r="824" spans="2:4">
      <c r="B824" s="56"/>
      <c r="C824" s="19"/>
      <c r="D824"/>
    </row>
    <row r="825" spans="2:4">
      <c r="B825" s="56"/>
      <c r="C825" s="19"/>
      <c r="D825"/>
    </row>
    <row r="826" spans="2:4">
      <c r="B826" s="56"/>
      <c r="C826" s="19"/>
      <c r="D826"/>
    </row>
    <row r="827" spans="2:4">
      <c r="B827" s="56"/>
      <c r="C827" s="19"/>
      <c r="D827"/>
    </row>
    <row r="828" spans="2:4">
      <c r="B828" s="56"/>
      <c r="C828" s="19"/>
      <c r="D828"/>
    </row>
    <row r="829" spans="2:4">
      <c r="B829" s="56"/>
      <c r="C829" s="19"/>
      <c r="D829"/>
    </row>
    <row r="830" spans="2:4">
      <c r="B830" s="56"/>
      <c r="C830" s="19"/>
      <c r="D830"/>
    </row>
    <row r="831" spans="2:4">
      <c r="B831" s="56"/>
      <c r="C831" s="19"/>
      <c r="D831"/>
    </row>
    <row r="832" spans="2:4">
      <c r="B832" s="56"/>
      <c r="C832" s="19"/>
      <c r="D832"/>
    </row>
    <row r="833" spans="2:4">
      <c r="B833" s="56"/>
      <c r="C833" s="19"/>
      <c r="D833"/>
    </row>
    <row r="834" spans="2:4">
      <c r="B834" s="56"/>
      <c r="C834" s="19"/>
      <c r="D834"/>
    </row>
    <row r="835" spans="2:4">
      <c r="B835" s="56"/>
      <c r="C835" s="19"/>
      <c r="D835"/>
    </row>
    <row r="836" spans="2:4">
      <c r="B836" s="56"/>
      <c r="C836" s="19"/>
      <c r="D836"/>
    </row>
    <row r="837" spans="2:4">
      <c r="B837" s="56"/>
      <c r="C837" s="19"/>
      <c r="D837"/>
    </row>
    <row r="838" spans="2:4">
      <c r="B838" s="56"/>
      <c r="C838" s="19"/>
      <c r="D838"/>
    </row>
    <row r="839" spans="2:4">
      <c r="B839" s="56"/>
      <c r="C839" s="19"/>
      <c r="D839"/>
    </row>
    <row r="840" spans="2:4">
      <c r="B840" s="56"/>
      <c r="C840" s="19"/>
      <c r="D840"/>
    </row>
    <row r="841" spans="2:4">
      <c r="B841" s="56"/>
      <c r="C841" s="19"/>
      <c r="D841"/>
    </row>
    <row r="842" spans="2:4">
      <c r="B842" s="56"/>
      <c r="C842" s="19"/>
      <c r="D842"/>
    </row>
    <row r="843" spans="2:4">
      <c r="B843" s="56"/>
      <c r="C843" s="19"/>
      <c r="D843"/>
    </row>
    <row r="844" spans="2:4">
      <c r="B844" s="56"/>
      <c r="C844" s="19"/>
      <c r="D844"/>
    </row>
    <row r="845" spans="2:4">
      <c r="B845" s="56"/>
      <c r="C845" s="19"/>
      <c r="D845"/>
    </row>
    <row r="846" spans="2:4">
      <c r="B846" s="56"/>
      <c r="C846" s="19"/>
      <c r="D846"/>
    </row>
    <row r="847" spans="2:4">
      <c r="B847" s="56"/>
      <c r="C847" s="19"/>
      <c r="D847"/>
    </row>
    <row r="848" spans="2:4">
      <c r="B848" s="56"/>
      <c r="C848" s="19"/>
      <c r="D848"/>
    </row>
    <row r="849" spans="2:4">
      <c r="B849" s="56"/>
      <c r="C849" s="19"/>
      <c r="D849"/>
    </row>
    <row r="850" spans="2:4">
      <c r="B850" s="56"/>
      <c r="C850" s="19"/>
      <c r="D850"/>
    </row>
    <row r="851" spans="2:4">
      <c r="B851" s="56"/>
      <c r="C851" s="19"/>
      <c r="D851"/>
    </row>
    <row r="852" spans="2:4">
      <c r="B852" s="56"/>
      <c r="C852" s="19"/>
      <c r="D852"/>
    </row>
    <row r="853" spans="2:4">
      <c r="B853" s="56"/>
      <c r="C853" s="19"/>
      <c r="D853"/>
    </row>
    <row r="854" spans="2:4">
      <c r="B854" s="56"/>
      <c r="C854" s="19"/>
      <c r="D854"/>
    </row>
    <row r="855" spans="2:4">
      <c r="B855" s="56"/>
      <c r="C855" s="19"/>
      <c r="D855"/>
    </row>
    <row r="856" spans="2:4">
      <c r="B856" s="56"/>
      <c r="C856" s="19"/>
      <c r="D856"/>
    </row>
    <row r="857" spans="2:4">
      <c r="B857" s="56"/>
      <c r="C857" s="19"/>
      <c r="D857"/>
    </row>
    <row r="858" spans="2:4">
      <c r="B858" s="56"/>
      <c r="C858" s="19"/>
      <c r="D858"/>
    </row>
    <row r="859" spans="2:4">
      <c r="B859" s="56"/>
      <c r="C859" s="19"/>
      <c r="D859"/>
    </row>
    <row r="860" spans="2:4">
      <c r="B860" s="56"/>
      <c r="C860" s="19"/>
      <c r="D860"/>
    </row>
    <row r="861" spans="2:4">
      <c r="B861" s="56"/>
      <c r="C861" s="19"/>
      <c r="D861"/>
    </row>
    <row r="862" spans="2:4">
      <c r="B862" s="56"/>
      <c r="C862" s="19"/>
      <c r="D862"/>
    </row>
    <row r="863" spans="2:4">
      <c r="B863" s="56"/>
      <c r="C863" s="19"/>
      <c r="D863"/>
    </row>
    <row r="864" spans="2:4">
      <c r="B864" s="56"/>
      <c r="C864" s="19"/>
      <c r="D864"/>
    </row>
    <row r="865" spans="2:4">
      <c r="B865" s="56"/>
      <c r="C865" s="19"/>
      <c r="D865"/>
    </row>
    <row r="866" spans="2:4">
      <c r="B866" s="56"/>
      <c r="C866" s="19"/>
      <c r="D866"/>
    </row>
    <row r="867" spans="2:4">
      <c r="B867" s="56"/>
      <c r="C867" s="19"/>
      <c r="D867"/>
    </row>
    <row r="868" spans="2:4">
      <c r="B868" s="56"/>
      <c r="C868" s="19"/>
      <c r="D868"/>
    </row>
    <row r="869" spans="2:4">
      <c r="B869" s="56"/>
      <c r="C869" s="19"/>
      <c r="D869"/>
    </row>
    <row r="870" spans="2:4">
      <c r="B870" s="56"/>
      <c r="C870" s="19"/>
      <c r="D870"/>
    </row>
    <row r="871" spans="2:4">
      <c r="B871" s="56"/>
      <c r="C871" s="19"/>
      <c r="D871"/>
    </row>
    <row r="872" spans="2:4">
      <c r="B872" s="56"/>
      <c r="C872" s="19"/>
      <c r="D872"/>
    </row>
    <row r="873" spans="2:4">
      <c r="B873" s="56"/>
      <c r="C873" s="19"/>
      <c r="D873"/>
    </row>
    <row r="874" spans="2:4">
      <c r="B874" s="56"/>
      <c r="C874" s="19"/>
      <c r="D874"/>
    </row>
    <row r="875" spans="2:4">
      <c r="B875" s="56"/>
      <c r="C875" s="19"/>
      <c r="D875"/>
    </row>
    <row r="876" spans="2:4">
      <c r="B876" s="56"/>
      <c r="C876" s="19"/>
      <c r="D876"/>
    </row>
    <row r="877" spans="2:4">
      <c r="B877" s="56"/>
      <c r="C877" s="19"/>
      <c r="D877"/>
    </row>
    <row r="878" spans="2:4">
      <c r="B878" s="56"/>
      <c r="C878" s="19"/>
      <c r="D878"/>
    </row>
    <row r="879" spans="2:4">
      <c r="B879" s="56"/>
      <c r="C879" s="19"/>
      <c r="D879"/>
    </row>
    <row r="880" spans="2:4">
      <c r="B880" s="56"/>
      <c r="C880" s="19"/>
      <c r="D880"/>
    </row>
    <row r="881" spans="2:4">
      <c r="B881" s="56"/>
      <c r="C881" s="19"/>
      <c r="D881"/>
    </row>
    <row r="882" spans="2:4">
      <c r="B882" s="56"/>
      <c r="C882" s="19"/>
      <c r="D882"/>
    </row>
    <row r="883" spans="2:4">
      <c r="B883" s="56"/>
      <c r="C883" s="19"/>
      <c r="D883"/>
    </row>
    <row r="884" spans="2:4">
      <c r="B884" s="56"/>
      <c r="C884" s="19"/>
      <c r="D884"/>
    </row>
    <row r="885" spans="2:4">
      <c r="B885" s="56"/>
      <c r="C885" s="19"/>
      <c r="D885"/>
    </row>
    <row r="886" spans="2:4">
      <c r="B886" s="56"/>
      <c r="C886" s="19"/>
      <c r="D886"/>
    </row>
    <row r="887" spans="2:4">
      <c r="B887" s="56"/>
      <c r="C887" s="19"/>
      <c r="D887"/>
    </row>
    <row r="888" spans="2:4">
      <c r="B888" s="56"/>
      <c r="C888" s="19"/>
      <c r="D888"/>
    </row>
    <row r="889" spans="2:4">
      <c r="B889" s="56"/>
      <c r="C889" s="19"/>
      <c r="D889"/>
    </row>
    <row r="890" spans="2:4">
      <c r="B890" s="56"/>
      <c r="C890" s="19"/>
      <c r="D890"/>
    </row>
    <row r="891" spans="2:4">
      <c r="B891" s="56"/>
      <c r="C891" s="19"/>
      <c r="D891"/>
    </row>
    <row r="892" spans="2:4">
      <c r="B892" s="56"/>
      <c r="C892" s="19"/>
      <c r="D892"/>
    </row>
    <row r="893" spans="2:4">
      <c r="B893" s="56"/>
      <c r="C893" s="19"/>
      <c r="D893"/>
    </row>
    <row r="894" spans="2:4">
      <c r="B894" s="56"/>
      <c r="C894" s="19"/>
      <c r="D894"/>
    </row>
    <row r="895" spans="2:4">
      <c r="B895" s="56"/>
      <c r="C895" s="19"/>
      <c r="D895"/>
    </row>
    <row r="896" spans="2:4">
      <c r="B896" s="56"/>
      <c r="C896" s="19"/>
      <c r="D896"/>
    </row>
    <row r="897" spans="2:4">
      <c r="B897" s="56"/>
      <c r="C897" s="19"/>
      <c r="D897"/>
    </row>
    <row r="898" spans="2:4">
      <c r="B898" s="56"/>
      <c r="C898" s="19"/>
      <c r="D898"/>
    </row>
    <row r="899" spans="2:4">
      <c r="B899" s="56"/>
      <c r="C899" s="19"/>
      <c r="D899"/>
    </row>
    <row r="900" spans="2:4">
      <c r="B900" s="56"/>
      <c r="C900" s="19"/>
      <c r="D900"/>
    </row>
    <row r="901" spans="2:4">
      <c r="B901" s="56"/>
      <c r="C901" s="19"/>
      <c r="D901"/>
    </row>
    <row r="902" spans="2:4">
      <c r="B902" s="56"/>
      <c r="C902" s="19"/>
      <c r="D902"/>
    </row>
    <row r="903" spans="2:4">
      <c r="B903" s="56"/>
      <c r="C903" s="19"/>
      <c r="D903"/>
    </row>
    <row r="904" spans="2:4">
      <c r="B904" s="56"/>
      <c r="C904" s="19"/>
      <c r="D904"/>
    </row>
    <row r="905" spans="2:4">
      <c r="B905" s="56"/>
      <c r="C905" s="19"/>
      <c r="D905"/>
    </row>
    <row r="906" spans="2:4">
      <c r="B906" s="56"/>
      <c r="C906" s="19"/>
      <c r="D906"/>
    </row>
    <row r="907" spans="2:4">
      <c r="B907" s="56"/>
      <c r="C907" s="19"/>
      <c r="D907"/>
    </row>
    <row r="908" spans="2:4">
      <c r="B908" s="56"/>
      <c r="C908" s="19"/>
      <c r="D908"/>
    </row>
    <row r="909" spans="2:4">
      <c r="B909" s="56"/>
      <c r="C909" s="19"/>
      <c r="D909"/>
    </row>
    <row r="910" spans="2:4">
      <c r="B910" s="56"/>
      <c r="C910" s="19"/>
      <c r="D910"/>
    </row>
    <row r="911" spans="2:4">
      <c r="B911" s="56"/>
      <c r="C911" s="19"/>
      <c r="D911"/>
    </row>
    <row r="912" spans="2:4">
      <c r="B912" s="56"/>
      <c r="C912" s="19"/>
      <c r="D912"/>
    </row>
    <row r="913" spans="2:4">
      <c r="B913" s="56"/>
      <c r="C913" s="19"/>
      <c r="D913"/>
    </row>
    <row r="914" spans="2:4">
      <c r="B914" s="56"/>
      <c r="C914" s="19"/>
      <c r="D914"/>
    </row>
    <row r="915" spans="2:4">
      <c r="B915" s="56"/>
      <c r="C915" s="19"/>
      <c r="D915"/>
    </row>
    <row r="916" spans="2:4">
      <c r="B916" s="56"/>
      <c r="C916" s="19"/>
      <c r="D916"/>
    </row>
    <row r="917" spans="2:4">
      <c r="B917" s="56"/>
      <c r="C917" s="19"/>
      <c r="D917"/>
    </row>
    <row r="918" spans="2:4">
      <c r="B918" s="56"/>
      <c r="C918" s="19"/>
      <c r="D918"/>
    </row>
    <row r="919" spans="2:4">
      <c r="B919" s="56"/>
      <c r="C919" s="19"/>
      <c r="D919"/>
    </row>
    <row r="920" spans="2:4">
      <c r="B920" s="56"/>
      <c r="C920" s="19"/>
      <c r="D920"/>
    </row>
    <row r="921" spans="2:4">
      <c r="B921" s="56"/>
      <c r="C921" s="19"/>
      <c r="D921"/>
    </row>
    <row r="922" spans="2:4">
      <c r="B922" s="56"/>
      <c r="C922" s="19"/>
      <c r="D922"/>
    </row>
    <row r="923" spans="2:4">
      <c r="B923" s="56"/>
      <c r="C923" s="19"/>
      <c r="D923"/>
    </row>
    <row r="924" spans="2:4">
      <c r="B924" s="56"/>
      <c r="C924" s="19"/>
      <c r="D924"/>
    </row>
    <row r="925" spans="2:4">
      <c r="B925" s="56"/>
      <c r="C925" s="19"/>
      <c r="D925"/>
    </row>
    <row r="926" spans="2:4">
      <c r="B926" s="56"/>
      <c r="C926" s="19"/>
      <c r="D926"/>
    </row>
    <row r="927" spans="2:4">
      <c r="B927" s="56"/>
      <c r="C927" s="19"/>
      <c r="D927"/>
    </row>
    <row r="928" spans="2:4">
      <c r="B928" s="56"/>
      <c r="C928" s="19"/>
      <c r="D928"/>
    </row>
    <row r="929" spans="2:4">
      <c r="B929" s="56"/>
      <c r="C929" s="19"/>
      <c r="D929"/>
    </row>
    <row r="930" spans="2:4">
      <c r="B930" s="56"/>
      <c r="C930" s="19"/>
      <c r="D930"/>
    </row>
    <row r="931" spans="2:4">
      <c r="B931" s="56"/>
      <c r="C931" s="19"/>
      <c r="D931"/>
    </row>
    <row r="932" spans="2:4">
      <c r="B932" s="56"/>
      <c r="C932" s="19"/>
      <c r="D932"/>
    </row>
    <row r="933" spans="2:4">
      <c r="B933" s="56"/>
      <c r="C933" s="19"/>
      <c r="D933"/>
    </row>
    <row r="934" spans="2:4">
      <c r="B934" s="56"/>
      <c r="C934" s="19"/>
      <c r="D934"/>
    </row>
    <row r="935" spans="2:4">
      <c r="B935" s="56"/>
      <c r="C935" s="19"/>
      <c r="D935"/>
    </row>
    <row r="936" spans="2:4">
      <c r="B936" s="56"/>
      <c r="C936" s="19"/>
      <c r="D936"/>
    </row>
    <row r="937" spans="2:4">
      <c r="B937" s="56"/>
      <c r="C937" s="19"/>
      <c r="D937"/>
    </row>
    <row r="938" spans="2:4">
      <c r="B938" s="56"/>
      <c r="C938" s="19"/>
      <c r="D938"/>
    </row>
    <row r="939" spans="2:4">
      <c r="B939" s="56"/>
      <c r="C939" s="19"/>
      <c r="D939"/>
    </row>
    <row r="940" spans="2:4">
      <c r="B940" s="56"/>
      <c r="C940" s="19"/>
      <c r="D940"/>
    </row>
    <row r="941" spans="2:4">
      <c r="B941" s="56"/>
      <c r="C941" s="19"/>
      <c r="D941"/>
    </row>
    <row r="942" spans="2:4">
      <c r="B942" s="56"/>
      <c r="C942" s="19"/>
      <c r="D942"/>
    </row>
    <row r="943" spans="2:4">
      <c r="B943" s="56"/>
      <c r="C943" s="19"/>
      <c r="D943"/>
    </row>
    <row r="944" spans="2:4">
      <c r="B944" s="56"/>
      <c r="C944" s="19"/>
      <c r="D944"/>
    </row>
    <row r="945" spans="2:4">
      <c r="B945" s="56"/>
      <c r="C945" s="19"/>
      <c r="D945"/>
    </row>
    <row r="946" spans="2:4">
      <c r="B946" s="56"/>
      <c r="C946" s="19"/>
      <c r="D946"/>
    </row>
    <row r="947" spans="2:4">
      <c r="B947" s="56"/>
      <c r="C947" s="19"/>
      <c r="D947"/>
    </row>
    <row r="948" spans="2:4">
      <c r="B948" s="56"/>
      <c r="C948" s="19"/>
      <c r="D948"/>
    </row>
    <row r="949" spans="2:4">
      <c r="B949" s="56"/>
      <c r="C949" s="19"/>
      <c r="D949"/>
    </row>
    <row r="950" spans="2:4">
      <c r="B950" s="56"/>
      <c r="C950" s="19"/>
      <c r="D950"/>
    </row>
    <row r="951" spans="2:4">
      <c r="B951" s="56"/>
      <c r="C951" s="19"/>
      <c r="D951"/>
    </row>
    <row r="952" spans="2:4">
      <c r="B952" s="56"/>
      <c r="C952" s="19"/>
      <c r="D952"/>
    </row>
    <row r="953" spans="2:4">
      <c r="B953" s="56"/>
      <c r="C953" s="19"/>
      <c r="D953"/>
    </row>
    <row r="954" spans="2:4">
      <c r="B954" s="56"/>
      <c r="C954" s="19"/>
      <c r="D954"/>
    </row>
    <row r="955" spans="2:4">
      <c r="B955" s="56"/>
      <c r="C955" s="19"/>
      <c r="D955"/>
    </row>
    <row r="956" spans="2:4">
      <c r="B956" s="56"/>
      <c r="C956" s="19"/>
      <c r="D956"/>
    </row>
    <row r="957" spans="2:4">
      <c r="B957" s="56"/>
      <c r="C957" s="19"/>
      <c r="D957"/>
    </row>
    <row r="958" spans="2:4">
      <c r="B958" s="56"/>
      <c r="C958" s="19"/>
      <c r="D958"/>
    </row>
    <row r="959" spans="2:4">
      <c r="B959" s="56"/>
      <c r="C959" s="19"/>
      <c r="D959"/>
    </row>
    <row r="960" spans="2:4">
      <c r="B960" s="56"/>
      <c r="C960" s="19"/>
      <c r="D960"/>
    </row>
    <row r="961" spans="2:4">
      <c r="B961" s="56"/>
      <c r="C961" s="19"/>
      <c r="D961"/>
    </row>
    <row r="962" spans="2:4">
      <c r="B962" s="56"/>
      <c r="C962" s="19"/>
      <c r="D962"/>
    </row>
    <row r="963" spans="2:4">
      <c r="B963" s="56"/>
      <c r="C963" s="19"/>
      <c r="D963"/>
    </row>
    <row r="964" spans="2:4">
      <c r="B964" s="56"/>
      <c r="C964" s="19"/>
      <c r="D964"/>
    </row>
    <row r="965" spans="2:4">
      <c r="B965" s="56"/>
      <c r="C965" s="19"/>
      <c r="D965"/>
    </row>
    <row r="966" spans="2:4">
      <c r="B966" s="56"/>
      <c r="C966" s="19"/>
      <c r="D966"/>
    </row>
    <row r="967" spans="2:4">
      <c r="B967" s="56"/>
      <c r="C967" s="19"/>
      <c r="D967"/>
    </row>
    <row r="968" spans="2:4">
      <c r="B968" s="56"/>
      <c r="C968" s="19"/>
      <c r="D968"/>
    </row>
    <row r="969" spans="2:4">
      <c r="B969" s="56"/>
      <c r="C969" s="19"/>
      <c r="D969"/>
    </row>
    <row r="970" spans="2:4">
      <c r="B970" s="56"/>
      <c r="C970" s="19"/>
      <c r="D970"/>
    </row>
    <row r="971" spans="2:4">
      <c r="B971" s="56"/>
      <c r="C971" s="19"/>
      <c r="D971"/>
    </row>
    <row r="972" spans="2:4">
      <c r="B972" s="56"/>
      <c r="C972" s="19"/>
      <c r="D972"/>
    </row>
    <row r="973" spans="2:4">
      <c r="B973" s="56"/>
      <c r="C973" s="19"/>
      <c r="D973"/>
    </row>
    <row r="974" spans="2:4">
      <c r="B974" s="56"/>
      <c r="C974" s="19"/>
      <c r="D974"/>
    </row>
    <row r="975" spans="2:4">
      <c r="B975" s="56"/>
      <c r="C975" s="19"/>
      <c r="D975"/>
    </row>
    <row r="976" spans="2:4">
      <c r="B976" s="56"/>
      <c r="C976" s="19"/>
      <c r="D976"/>
    </row>
    <row r="977" spans="2:4">
      <c r="B977" s="56"/>
      <c r="C977" s="19"/>
      <c r="D977"/>
    </row>
    <row r="978" spans="2:4">
      <c r="B978" s="56"/>
      <c r="C978" s="19"/>
      <c r="D978"/>
    </row>
    <row r="979" spans="2:4">
      <c r="B979" s="56"/>
      <c r="C979" s="19"/>
      <c r="D979"/>
    </row>
    <row r="980" spans="2:4">
      <c r="B980" s="56"/>
      <c r="C980" s="19"/>
      <c r="D980"/>
    </row>
    <row r="981" spans="2:4">
      <c r="B981" s="56"/>
      <c r="C981" s="19"/>
      <c r="D981"/>
    </row>
    <row r="982" spans="2:4">
      <c r="B982" s="56"/>
      <c r="C982" s="19"/>
      <c r="D982"/>
    </row>
    <row r="983" spans="2:4">
      <c r="B983" s="56"/>
      <c r="C983" s="19"/>
      <c r="D983"/>
    </row>
    <row r="984" spans="2:4">
      <c r="B984" s="56"/>
      <c r="C984" s="19"/>
      <c r="D984"/>
    </row>
    <row r="985" spans="2:4">
      <c r="B985" s="56"/>
      <c r="C985" s="19"/>
      <c r="D985"/>
    </row>
    <row r="986" spans="2:4">
      <c r="B986" s="56"/>
      <c r="C986" s="19"/>
      <c r="D986"/>
    </row>
    <row r="987" spans="2:4">
      <c r="B987" s="56"/>
      <c r="C987" s="19"/>
      <c r="D987"/>
    </row>
    <row r="988" spans="2:4">
      <c r="B988" s="56"/>
      <c r="C988" s="19"/>
      <c r="D988"/>
    </row>
    <row r="989" spans="2:4">
      <c r="B989" s="56"/>
      <c r="C989" s="19"/>
      <c r="D989"/>
    </row>
    <row r="990" spans="2:4">
      <c r="B990" s="56"/>
      <c r="C990" s="19"/>
      <c r="D990"/>
    </row>
    <row r="991" spans="2:4">
      <c r="B991" s="56"/>
      <c r="C991" s="19"/>
      <c r="D991"/>
    </row>
    <row r="992" spans="2:4">
      <c r="B992" s="56"/>
      <c r="C992" s="19"/>
      <c r="D992"/>
    </row>
    <row r="993" spans="2:4">
      <c r="B993" s="56"/>
      <c r="C993" s="19"/>
      <c r="D993"/>
    </row>
    <row r="994" spans="2:4">
      <c r="B994" s="56"/>
      <c r="C994" s="19"/>
      <c r="D994"/>
    </row>
    <row r="995" spans="2:4">
      <c r="B995" s="56"/>
      <c r="C995" s="19"/>
      <c r="D995"/>
    </row>
    <row r="996" spans="2:4">
      <c r="B996" s="56"/>
      <c r="C996" s="19"/>
      <c r="D996"/>
    </row>
    <row r="997" spans="2:4">
      <c r="B997" s="56"/>
      <c r="C997" s="19"/>
      <c r="D997"/>
    </row>
    <row r="998" spans="2:4">
      <c r="B998" s="56"/>
      <c r="C998" s="19"/>
      <c r="D998"/>
    </row>
    <row r="999" spans="2:4">
      <c r="B999" s="56"/>
      <c r="C999" s="19"/>
      <c r="D999"/>
    </row>
    <row r="1000" spans="2:4">
      <c r="B1000" s="56"/>
      <c r="C1000" s="19"/>
      <c r="D1000"/>
    </row>
    <row r="1001" spans="2:4">
      <c r="B1001" s="56"/>
      <c r="C1001" s="19"/>
      <c r="D1001"/>
    </row>
    <row r="1002" spans="2:4">
      <c r="B1002" s="56"/>
      <c r="C1002" s="19"/>
      <c r="D1002"/>
    </row>
    <row r="1003" spans="2:4">
      <c r="B1003" s="56"/>
      <c r="C1003" s="19"/>
      <c r="D1003"/>
    </row>
    <row r="1004" spans="2:4">
      <c r="B1004" s="56"/>
      <c r="C1004" s="19"/>
      <c r="D1004"/>
    </row>
    <row r="1005" spans="2:4">
      <c r="B1005" s="56"/>
      <c r="C1005" s="19"/>
      <c r="D1005"/>
    </row>
    <row r="1006" spans="2:4">
      <c r="B1006" s="56"/>
      <c r="C1006" s="19"/>
      <c r="D1006"/>
    </row>
    <row r="1007" spans="2:4">
      <c r="B1007" s="56"/>
      <c r="C1007" s="19"/>
      <c r="D1007"/>
    </row>
    <row r="1008" spans="2:4">
      <c r="B1008" s="56"/>
      <c r="C1008" s="19"/>
      <c r="D1008"/>
    </row>
    <row r="1009" spans="2:4">
      <c r="B1009" s="56"/>
      <c r="C1009" s="19"/>
      <c r="D1009"/>
    </row>
    <row r="1010" spans="2:4">
      <c r="B1010" s="56"/>
      <c r="C1010" s="19"/>
      <c r="D1010"/>
    </row>
    <row r="1011" spans="2:4">
      <c r="B1011" s="56"/>
      <c r="C1011" s="19"/>
      <c r="D1011"/>
    </row>
    <row r="1012" spans="2:4">
      <c r="B1012" s="56"/>
      <c r="C1012" s="19"/>
      <c r="D1012"/>
    </row>
    <row r="1013" spans="2:4">
      <c r="B1013" s="56"/>
      <c r="C1013" s="19"/>
      <c r="D1013"/>
    </row>
    <row r="1014" spans="2:4">
      <c r="B1014" s="56"/>
      <c r="C1014" s="19"/>
      <c r="D1014"/>
    </row>
    <row r="1015" spans="2:4">
      <c r="B1015" s="56"/>
      <c r="C1015" s="19"/>
      <c r="D1015"/>
    </row>
    <row r="1016" spans="2:4">
      <c r="B1016" s="56"/>
      <c r="C1016" s="19"/>
      <c r="D1016"/>
    </row>
    <row r="1017" spans="2:4">
      <c r="B1017" s="56"/>
      <c r="C1017" s="19"/>
      <c r="D1017"/>
    </row>
    <row r="1018" spans="2:4">
      <c r="B1018" s="56"/>
      <c r="C1018" s="19"/>
      <c r="D1018"/>
    </row>
    <row r="1019" spans="2:4">
      <c r="B1019" s="56"/>
      <c r="C1019" s="19"/>
      <c r="D1019"/>
    </row>
    <row r="1020" spans="2:4">
      <c r="B1020" s="56"/>
      <c r="C1020" s="19"/>
      <c r="D1020"/>
    </row>
    <row r="1021" spans="2:4">
      <c r="B1021" s="56"/>
      <c r="C1021" s="19"/>
      <c r="D1021"/>
    </row>
    <row r="1022" spans="2:4">
      <c r="B1022" s="56"/>
      <c r="C1022" s="19"/>
      <c r="D1022"/>
    </row>
    <row r="1023" spans="2:4">
      <c r="B1023" s="56"/>
      <c r="C1023" s="19"/>
      <c r="D1023"/>
    </row>
    <row r="1024" spans="2:4">
      <c r="B1024" s="56"/>
      <c r="C1024" s="19"/>
      <c r="D1024"/>
    </row>
    <row r="1025" spans="2:4">
      <c r="B1025" s="56"/>
      <c r="C1025" s="19"/>
      <c r="D1025"/>
    </row>
    <row r="1026" spans="2:4">
      <c r="B1026" s="56"/>
      <c r="C1026" s="19"/>
      <c r="D1026"/>
    </row>
    <row r="1027" spans="2:4">
      <c r="B1027" s="56"/>
      <c r="C1027" s="19"/>
      <c r="D1027"/>
    </row>
    <row r="1028" spans="2:4">
      <c r="B1028" s="56"/>
      <c r="C1028" s="19"/>
      <c r="D1028"/>
    </row>
    <row r="1029" spans="2:4">
      <c r="B1029" s="56"/>
      <c r="C1029" s="19"/>
      <c r="D1029"/>
    </row>
    <row r="1030" spans="2:4">
      <c r="B1030" s="56"/>
      <c r="C1030" s="19"/>
      <c r="D1030"/>
    </row>
    <row r="1031" spans="2:4">
      <c r="B1031" s="56"/>
      <c r="C1031" s="19"/>
      <c r="D1031"/>
    </row>
    <row r="1032" spans="2:4">
      <c r="B1032" s="56"/>
      <c r="C1032" s="19"/>
      <c r="D1032"/>
    </row>
    <row r="1033" spans="2:4">
      <c r="B1033" s="56"/>
      <c r="C1033" s="19"/>
      <c r="D1033"/>
    </row>
    <row r="1034" spans="2:4">
      <c r="B1034" s="56"/>
      <c r="C1034" s="19"/>
      <c r="D1034"/>
    </row>
    <row r="1035" spans="2:4">
      <c r="B1035" s="56"/>
      <c r="C1035" s="19"/>
      <c r="D1035"/>
    </row>
    <row r="1036" spans="2:4">
      <c r="B1036" s="56"/>
      <c r="C1036" s="19"/>
      <c r="D1036"/>
    </row>
    <row r="1037" spans="2:4">
      <c r="B1037" s="56"/>
      <c r="C1037" s="19"/>
      <c r="D1037"/>
    </row>
    <row r="1038" spans="2:4">
      <c r="B1038" s="56"/>
      <c r="C1038" s="19"/>
      <c r="D1038"/>
    </row>
    <row r="1039" spans="2:4">
      <c r="B1039" s="56"/>
      <c r="C1039" s="19"/>
      <c r="D1039"/>
    </row>
    <row r="1040" spans="2:4">
      <c r="B1040" s="56"/>
      <c r="C1040" s="19"/>
      <c r="D1040"/>
    </row>
    <row r="1041" spans="2:4">
      <c r="B1041" s="56"/>
      <c r="C1041" s="19"/>
      <c r="D1041"/>
    </row>
    <row r="1042" spans="2:4">
      <c r="B1042" s="56"/>
      <c r="C1042" s="19"/>
      <c r="D1042"/>
    </row>
    <row r="1043" spans="2:4">
      <c r="B1043" s="56"/>
      <c r="C1043" s="19"/>
      <c r="D1043"/>
    </row>
    <row r="1044" spans="2:4">
      <c r="B1044" s="56"/>
      <c r="C1044" s="19"/>
      <c r="D1044"/>
    </row>
    <row r="1045" spans="2:4">
      <c r="B1045" s="56"/>
      <c r="C1045" s="19"/>
      <c r="D1045"/>
    </row>
    <row r="1046" spans="2:4">
      <c r="B1046" s="56"/>
      <c r="C1046" s="19"/>
      <c r="D1046"/>
    </row>
    <row r="1047" spans="2:4">
      <c r="B1047" s="56"/>
      <c r="C1047" s="19"/>
      <c r="D1047"/>
    </row>
    <row r="1048" spans="2:4">
      <c r="B1048" s="56"/>
      <c r="C1048" s="19"/>
      <c r="D1048"/>
    </row>
    <row r="1049" spans="2:4">
      <c r="B1049" s="56"/>
      <c r="C1049" s="19"/>
      <c r="D1049"/>
    </row>
    <row r="1050" spans="2:4">
      <c r="B1050" s="56"/>
      <c r="C1050" s="19"/>
      <c r="D1050"/>
    </row>
    <row r="1051" spans="2:4">
      <c r="B1051" s="56"/>
      <c r="C1051" s="19"/>
      <c r="D1051"/>
    </row>
    <row r="1052" spans="2:4">
      <c r="B1052" s="56"/>
      <c r="C1052" s="19"/>
      <c r="D1052"/>
    </row>
    <row r="1053" spans="2:4">
      <c r="B1053" s="56"/>
      <c r="C1053" s="19"/>
      <c r="D1053"/>
    </row>
    <row r="1054" spans="2:4">
      <c r="B1054" s="56"/>
      <c r="C1054" s="19"/>
      <c r="D1054"/>
    </row>
    <row r="1055" spans="2:4">
      <c r="B1055" s="56"/>
      <c r="C1055" s="19"/>
      <c r="D1055"/>
    </row>
    <row r="1056" spans="2:4">
      <c r="B1056" s="56"/>
      <c r="C1056" s="19"/>
      <c r="D1056"/>
    </row>
    <row r="1057" spans="2:4">
      <c r="B1057" s="56"/>
      <c r="C1057" s="19"/>
      <c r="D1057"/>
    </row>
    <row r="1058" spans="2:4">
      <c r="B1058" s="56"/>
      <c r="C1058" s="19"/>
      <c r="D1058"/>
    </row>
    <row r="1059" spans="2:4">
      <c r="B1059" s="56"/>
      <c r="C1059" s="19"/>
      <c r="D1059"/>
    </row>
    <row r="1060" spans="2:4">
      <c r="B1060" s="56"/>
      <c r="C1060" s="19"/>
      <c r="D1060"/>
    </row>
    <row r="1061" spans="2:4">
      <c r="B1061" s="56"/>
      <c r="C1061" s="19"/>
      <c r="D1061"/>
    </row>
    <row r="1062" spans="2:4">
      <c r="B1062" s="56"/>
      <c r="C1062" s="19"/>
      <c r="D1062"/>
    </row>
    <row r="1063" spans="2:4">
      <c r="B1063" s="56"/>
      <c r="C1063" s="19"/>
      <c r="D1063"/>
    </row>
    <row r="1064" spans="2:4">
      <c r="B1064" s="56"/>
      <c r="C1064" s="19"/>
      <c r="D1064"/>
    </row>
    <row r="1065" spans="2:4">
      <c r="B1065" s="56"/>
      <c r="C1065" s="19"/>
      <c r="D1065"/>
    </row>
    <row r="1066" spans="2:4">
      <c r="B1066" s="56"/>
      <c r="C1066" s="19"/>
      <c r="D1066"/>
    </row>
    <row r="1067" spans="2:4">
      <c r="B1067" s="56"/>
      <c r="C1067" s="19"/>
      <c r="D1067"/>
    </row>
    <row r="1068" spans="2:4">
      <c r="B1068" s="56"/>
      <c r="C1068" s="19"/>
      <c r="D1068"/>
    </row>
    <row r="1069" spans="2:4">
      <c r="B1069" s="56"/>
      <c r="C1069" s="19"/>
      <c r="D1069"/>
    </row>
    <row r="1070" spans="2:4">
      <c r="B1070" s="56"/>
      <c r="C1070" s="19"/>
      <c r="D1070"/>
    </row>
    <row r="1071" spans="2:4">
      <c r="B1071" s="56"/>
      <c r="C1071" s="19"/>
      <c r="D1071"/>
    </row>
    <row r="1072" spans="2:4">
      <c r="B1072" s="56"/>
      <c r="C1072" s="19"/>
      <c r="D1072"/>
    </row>
    <row r="1073" spans="2:4">
      <c r="B1073" s="56"/>
      <c r="C1073" s="19"/>
      <c r="D1073"/>
    </row>
    <row r="1074" spans="2:4">
      <c r="B1074" s="56"/>
      <c r="C1074" s="19"/>
      <c r="D1074"/>
    </row>
    <row r="1075" spans="2:4">
      <c r="B1075" s="56"/>
      <c r="C1075" s="19"/>
      <c r="D1075"/>
    </row>
    <row r="1076" spans="2:4">
      <c r="B1076" s="56"/>
      <c r="C1076" s="19"/>
      <c r="D1076"/>
    </row>
    <row r="1077" spans="2:4">
      <c r="B1077" s="56"/>
      <c r="C1077" s="19"/>
      <c r="D1077"/>
    </row>
    <row r="1078" spans="2:4">
      <c r="B1078" s="56"/>
      <c r="C1078" s="19"/>
      <c r="D1078"/>
    </row>
    <row r="1079" spans="2:4">
      <c r="B1079" s="56"/>
      <c r="C1079" s="19"/>
      <c r="D1079"/>
    </row>
    <row r="1080" spans="2:4">
      <c r="B1080" s="56"/>
      <c r="C1080" s="19"/>
      <c r="D1080"/>
    </row>
    <row r="1081" spans="2:4">
      <c r="B1081" s="56"/>
      <c r="C1081" s="19"/>
      <c r="D1081"/>
    </row>
    <row r="1082" spans="2:4">
      <c r="B1082" s="56"/>
      <c r="C1082" s="19"/>
      <c r="D1082"/>
    </row>
    <row r="1083" spans="2:4">
      <c r="B1083" s="56"/>
      <c r="C1083" s="19"/>
      <c r="D1083"/>
    </row>
    <row r="1084" spans="2:4">
      <c r="B1084" s="56"/>
      <c r="C1084" s="19"/>
      <c r="D1084"/>
    </row>
    <row r="1085" spans="2:4">
      <c r="B1085" s="56"/>
      <c r="C1085" s="19"/>
      <c r="D1085"/>
    </row>
    <row r="1086" spans="2:4">
      <c r="B1086" s="56"/>
      <c r="C1086" s="19"/>
      <c r="D1086"/>
    </row>
    <row r="1087" spans="2:4">
      <c r="B1087" s="56"/>
      <c r="C1087" s="19"/>
      <c r="D1087"/>
    </row>
    <row r="1088" spans="2:4">
      <c r="B1088" s="56"/>
      <c r="C1088" s="19"/>
      <c r="D1088"/>
    </row>
    <row r="1089" spans="2:4">
      <c r="B1089" s="56"/>
      <c r="C1089" s="19"/>
      <c r="D1089"/>
    </row>
    <row r="1090" spans="2:4">
      <c r="B1090" s="56"/>
      <c r="C1090" s="19"/>
      <c r="D1090"/>
    </row>
    <row r="1091" spans="2:4">
      <c r="B1091" s="56"/>
      <c r="C1091" s="19"/>
      <c r="D1091"/>
    </row>
    <row r="1092" spans="2:4">
      <c r="B1092" s="56"/>
      <c r="C1092" s="19"/>
      <c r="D1092"/>
    </row>
    <row r="1093" spans="2:4">
      <c r="B1093" s="56"/>
      <c r="C1093" s="19"/>
      <c r="D1093"/>
    </row>
    <row r="1094" spans="2:4">
      <c r="B1094" s="56"/>
      <c r="C1094" s="19"/>
      <c r="D1094"/>
    </row>
    <row r="1095" spans="2:4">
      <c r="B1095" s="56"/>
      <c r="C1095" s="19"/>
      <c r="D1095"/>
    </row>
    <row r="1096" spans="2:4">
      <c r="B1096" s="56"/>
      <c r="C1096" s="19"/>
      <c r="D1096"/>
    </row>
    <row r="1097" spans="2:4">
      <c r="B1097" s="56"/>
      <c r="C1097" s="19"/>
      <c r="D1097"/>
    </row>
    <row r="1098" spans="2:4">
      <c r="B1098" s="56"/>
      <c r="C1098" s="19"/>
      <c r="D1098"/>
    </row>
    <row r="1099" spans="2:4">
      <c r="B1099" s="56"/>
      <c r="C1099" s="19"/>
      <c r="D1099"/>
    </row>
    <row r="1100" spans="2:4">
      <c r="B1100" s="56"/>
      <c r="C1100" s="19"/>
      <c r="D1100"/>
    </row>
    <row r="1101" spans="2:4">
      <c r="B1101" s="56"/>
      <c r="C1101" s="19"/>
      <c r="D1101"/>
    </row>
    <row r="1102" spans="2:4">
      <c r="B1102" s="56"/>
      <c r="C1102" s="19"/>
      <c r="D1102"/>
    </row>
    <row r="1103" spans="2:4">
      <c r="B1103" s="56"/>
      <c r="C1103" s="19"/>
      <c r="D1103"/>
    </row>
    <row r="1104" spans="2:4">
      <c r="B1104" s="56"/>
      <c r="C1104" s="19"/>
      <c r="D1104"/>
    </row>
    <row r="1105" spans="2:4">
      <c r="B1105" s="56"/>
      <c r="C1105" s="19"/>
      <c r="D1105"/>
    </row>
    <row r="1106" spans="2:4">
      <c r="B1106" s="56"/>
      <c r="C1106" s="19"/>
      <c r="D1106"/>
    </row>
    <row r="1107" spans="2:4">
      <c r="B1107" s="56"/>
      <c r="C1107" s="19"/>
      <c r="D1107"/>
    </row>
    <row r="1108" spans="2:4">
      <c r="B1108" s="56"/>
      <c r="C1108" s="19"/>
      <c r="D1108"/>
    </row>
    <row r="1109" spans="2:4">
      <c r="B1109" s="56"/>
      <c r="C1109" s="19"/>
      <c r="D1109"/>
    </row>
    <row r="1110" spans="2:4">
      <c r="B1110" s="56"/>
      <c r="C1110" s="19"/>
      <c r="D1110"/>
    </row>
    <row r="1111" spans="2:4">
      <c r="B1111" s="56"/>
      <c r="C1111" s="19"/>
      <c r="D1111"/>
    </row>
    <row r="1112" spans="2:4">
      <c r="B1112" s="56"/>
      <c r="C1112" s="19"/>
      <c r="D1112"/>
    </row>
    <row r="1113" spans="2:4">
      <c r="B1113" s="56"/>
      <c r="C1113" s="19"/>
      <c r="D1113"/>
    </row>
    <row r="1114" spans="2:4">
      <c r="B1114" s="56"/>
      <c r="C1114" s="19"/>
      <c r="D1114"/>
    </row>
    <row r="1115" spans="2:4">
      <c r="B1115" s="56"/>
      <c r="C1115" s="19"/>
      <c r="D1115"/>
    </row>
    <row r="1116" spans="2:4">
      <c r="B1116" s="56"/>
      <c r="C1116" s="19"/>
      <c r="D1116"/>
    </row>
    <row r="1117" spans="2:4">
      <c r="B1117" s="56"/>
      <c r="C1117" s="19"/>
      <c r="D1117"/>
    </row>
    <row r="1118" spans="2:4">
      <c r="B1118" s="56"/>
      <c r="C1118" s="19"/>
      <c r="D1118"/>
    </row>
    <row r="1119" spans="2:4">
      <c r="B1119" s="56"/>
      <c r="C1119" s="19"/>
      <c r="D1119"/>
    </row>
    <row r="1120" spans="2:4">
      <c r="B1120" s="56"/>
      <c r="C1120" s="19"/>
      <c r="D1120"/>
    </row>
    <row r="1121" spans="2:4">
      <c r="B1121" s="56"/>
      <c r="C1121" s="19"/>
      <c r="D1121"/>
    </row>
    <row r="1122" spans="2:4">
      <c r="B1122" s="56"/>
      <c r="C1122" s="19"/>
      <c r="D1122"/>
    </row>
    <row r="1123" spans="2:4">
      <c r="B1123" s="56"/>
      <c r="C1123" s="19"/>
      <c r="D1123"/>
    </row>
    <row r="1124" spans="2:4">
      <c r="B1124" s="56"/>
      <c r="C1124" s="19"/>
      <c r="D1124"/>
    </row>
    <row r="1125" spans="2:4">
      <c r="B1125" s="56"/>
      <c r="C1125" s="19"/>
      <c r="D1125"/>
    </row>
    <row r="1126" spans="2:4">
      <c r="B1126" s="56"/>
      <c r="C1126" s="19"/>
      <c r="D1126"/>
    </row>
    <row r="1127" spans="2:4">
      <c r="B1127" s="56"/>
      <c r="C1127" s="19"/>
      <c r="D1127"/>
    </row>
    <row r="1128" spans="2:4">
      <c r="B1128" s="56"/>
      <c r="C1128" s="19"/>
      <c r="D1128"/>
    </row>
    <row r="1129" spans="2:4">
      <c r="B1129" s="56"/>
      <c r="C1129" s="19"/>
      <c r="D1129"/>
    </row>
    <row r="1130" spans="2:4">
      <c r="B1130" s="56"/>
      <c r="C1130" s="19"/>
      <c r="D1130"/>
    </row>
    <row r="1131" spans="2:4">
      <c r="B1131" s="56"/>
      <c r="C1131" s="19"/>
      <c r="D1131"/>
    </row>
    <row r="1132" spans="2:4">
      <c r="B1132" s="56"/>
      <c r="C1132" s="19"/>
      <c r="D1132"/>
    </row>
    <row r="1133" spans="2:4">
      <c r="B1133" s="56"/>
      <c r="C1133" s="19"/>
      <c r="D1133"/>
    </row>
    <row r="1134" spans="2:4">
      <c r="B1134" s="56"/>
      <c r="C1134" s="19"/>
      <c r="D1134"/>
    </row>
    <row r="1135" spans="2:4">
      <c r="B1135" s="56"/>
      <c r="C1135" s="19"/>
      <c r="D1135"/>
    </row>
    <row r="1136" spans="2:4">
      <c r="B1136" s="56"/>
      <c r="C1136" s="19"/>
      <c r="D1136"/>
    </row>
    <row r="1137" spans="2:4">
      <c r="B1137" s="56"/>
      <c r="C1137" s="19"/>
      <c r="D1137"/>
    </row>
    <row r="1138" spans="2:4">
      <c r="B1138" s="56"/>
      <c r="C1138" s="19"/>
      <c r="D1138"/>
    </row>
    <row r="1139" spans="2:4">
      <c r="B1139" s="56"/>
      <c r="C1139" s="19"/>
      <c r="D1139"/>
    </row>
    <row r="1140" spans="2:4">
      <c r="B1140" s="56"/>
      <c r="C1140" s="19"/>
      <c r="D1140"/>
    </row>
    <row r="1141" spans="2:4">
      <c r="B1141" s="56"/>
      <c r="C1141" s="19"/>
      <c r="D1141"/>
    </row>
    <row r="1142" spans="2:4">
      <c r="B1142" s="56"/>
      <c r="C1142" s="19"/>
      <c r="D1142"/>
    </row>
    <row r="1143" spans="2:4">
      <c r="B1143" s="56"/>
      <c r="C1143" s="19"/>
      <c r="D1143"/>
    </row>
    <row r="1144" spans="2:4">
      <c r="B1144" s="56"/>
      <c r="C1144" s="19"/>
      <c r="D1144"/>
    </row>
    <row r="1145" spans="2:4">
      <c r="B1145" s="56"/>
      <c r="C1145" s="19"/>
      <c r="D1145"/>
    </row>
    <row r="1146" spans="2:4">
      <c r="B1146" s="56"/>
      <c r="C1146" s="19"/>
      <c r="D1146"/>
    </row>
    <row r="1147" spans="2:4">
      <c r="B1147" s="56"/>
      <c r="C1147" s="19"/>
      <c r="D1147"/>
    </row>
    <row r="1148" spans="2:4">
      <c r="B1148" s="56"/>
      <c r="C1148" s="19"/>
      <c r="D1148"/>
    </row>
    <row r="1149" spans="2:4">
      <c r="B1149" s="56"/>
      <c r="C1149" s="19"/>
      <c r="D1149"/>
    </row>
    <row r="1150" spans="2:4">
      <c r="B1150" s="56"/>
      <c r="C1150" s="19"/>
      <c r="D1150"/>
    </row>
    <row r="1151" spans="2:4">
      <c r="B1151" s="56"/>
      <c r="C1151" s="19"/>
      <c r="D1151"/>
    </row>
    <row r="1152" spans="2:4">
      <c r="B1152" s="56"/>
      <c r="C1152" s="19"/>
      <c r="D1152"/>
    </row>
    <row r="1153" spans="2:4">
      <c r="B1153" s="56"/>
      <c r="C1153" s="19"/>
      <c r="D1153"/>
    </row>
    <row r="1154" spans="2:4">
      <c r="B1154" s="56"/>
      <c r="C1154" s="19"/>
      <c r="D1154"/>
    </row>
    <row r="1155" spans="2:4">
      <c r="B1155" s="56"/>
      <c r="C1155" s="19"/>
      <c r="D1155"/>
    </row>
    <row r="1156" spans="2:4">
      <c r="B1156" s="56"/>
      <c r="C1156" s="19"/>
      <c r="D1156"/>
    </row>
    <row r="1157" spans="2:4">
      <c r="B1157" s="56"/>
      <c r="C1157" s="19"/>
      <c r="D1157"/>
    </row>
    <row r="1158" spans="2:4">
      <c r="B1158" s="56"/>
      <c r="C1158" s="19"/>
      <c r="D1158"/>
    </row>
    <row r="1159" spans="2:4">
      <c r="B1159" s="56"/>
      <c r="C1159" s="19"/>
      <c r="D1159"/>
    </row>
    <row r="1160" spans="2:4">
      <c r="B1160" s="56"/>
      <c r="C1160" s="19"/>
      <c r="D1160"/>
    </row>
    <row r="1161" spans="2:4">
      <c r="B1161" s="56"/>
      <c r="C1161" s="19"/>
      <c r="D1161"/>
    </row>
    <row r="1162" spans="2:4">
      <c r="B1162" s="56"/>
      <c r="C1162" s="19"/>
      <c r="D1162"/>
    </row>
    <row r="1163" spans="2:4">
      <c r="B1163" s="56"/>
      <c r="C1163" s="19"/>
      <c r="D1163"/>
    </row>
    <row r="1164" spans="2:4">
      <c r="B1164" s="56"/>
      <c r="C1164" s="19"/>
      <c r="D1164"/>
    </row>
    <row r="1165" spans="2:4">
      <c r="B1165" s="56"/>
      <c r="C1165" s="19"/>
      <c r="D1165"/>
    </row>
    <row r="1166" spans="2:4">
      <c r="B1166" s="56"/>
      <c r="C1166" s="19"/>
      <c r="D1166"/>
    </row>
    <row r="1167" spans="2:4">
      <c r="B1167" s="56"/>
      <c r="C1167" s="19"/>
      <c r="D1167"/>
    </row>
    <row r="1168" spans="2:4">
      <c r="B1168" s="56"/>
      <c r="C1168" s="19"/>
      <c r="D1168"/>
    </row>
    <row r="1169" spans="2:4">
      <c r="B1169" s="56"/>
      <c r="C1169" s="19"/>
      <c r="D1169"/>
    </row>
    <row r="1170" spans="2:4">
      <c r="B1170" s="56"/>
      <c r="C1170" s="19"/>
      <c r="D1170"/>
    </row>
    <row r="1171" spans="2:4">
      <c r="B1171" s="56"/>
      <c r="C1171" s="19"/>
      <c r="D1171"/>
    </row>
    <row r="1172" spans="2:4">
      <c r="B1172" s="56"/>
      <c r="C1172" s="19"/>
      <c r="D1172"/>
    </row>
    <row r="1173" spans="2:4">
      <c r="B1173" s="56"/>
      <c r="C1173" s="19"/>
      <c r="D1173"/>
    </row>
    <row r="1174" spans="2:4">
      <c r="B1174" s="56"/>
      <c r="C1174" s="19"/>
      <c r="D1174"/>
    </row>
    <row r="1175" spans="2:4">
      <c r="B1175" s="56"/>
      <c r="C1175" s="19"/>
      <c r="D1175"/>
    </row>
    <row r="1176" spans="2:4">
      <c r="B1176" s="56"/>
      <c r="C1176" s="19"/>
      <c r="D1176"/>
    </row>
    <row r="1177" spans="2:4">
      <c r="B1177" s="56"/>
      <c r="C1177" s="19"/>
      <c r="D1177"/>
    </row>
    <row r="1178" spans="2:4">
      <c r="B1178" s="56"/>
      <c r="C1178" s="19"/>
      <c r="D1178"/>
    </row>
    <row r="1179" spans="2:4">
      <c r="B1179" s="56"/>
      <c r="C1179" s="19"/>
      <c r="D1179"/>
    </row>
    <row r="1180" spans="2:4">
      <c r="B1180" s="56"/>
      <c r="C1180" s="19"/>
      <c r="D1180"/>
    </row>
    <row r="1181" spans="2:4">
      <c r="B1181" s="56"/>
      <c r="C1181" s="19"/>
      <c r="D1181"/>
    </row>
    <row r="1182" spans="2:4">
      <c r="B1182" s="56"/>
      <c r="C1182" s="19"/>
      <c r="D1182"/>
    </row>
    <row r="1183" spans="2:4">
      <c r="B1183" s="56"/>
      <c r="C1183" s="19"/>
      <c r="D1183"/>
    </row>
    <row r="1184" spans="2:4">
      <c r="B1184" s="56"/>
      <c r="C1184" s="19"/>
      <c r="D1184"/>
    </row>
    <row r="1185" spans="2:4">
      <c r="B1185" s="56"/>
      <c r="C1185" s="19"/>
      <c r="D1185"/>
    </row>
    <row r="1186" spans="2:4">
      <c r="B1186" s="56"/>
      <c r="C1186" s="19"/>
      <c r="D1186"/>
    </row>
    <row r="1187" spans="2:4">
      <c r="B1187" s="56"/>
      <c r="C1187" s="19"/>
      <c r="D1187"/>
    </row>
    <row r="1188" spans="2:4">
      <c r="B1188" s="56"/>
      <c r="C1188" s="19"/>
      <c r="D1188"/>
    </row>
    <row r="1189" spans="2:4">
      <c r="B1189" s="56"/>
      <c r="C1189" s="19"/>
      <c r="D1189"/>
    </row>
    <row r="1190" spans="2:4">
      <c r="B1190" s="56"/>
      <c r="C1190" s="19"/>
      <c r="D1190"/>
    </row>
    <row r="1191" spans="2:4">
      <c r="B1191" s="56"/>
      <c r="C1191" s="19"/>
      <c r="D1191"/>
    </row>
    <row r="1192" spans="2:4">
      <c r="B1192" s="56"/>
      <c r="C1192" s="19"/>
      <c r="D1192"/>
    </row>
    <row r="1193" spans="2:4">
      <c r="B1193" s="56"/>
      <c r="C1193" s="19"/>
      <c r="D1193"/>
    </row>
    <row r="1194" spans="2:4">
      <c r="B1194" s="56"/>
      <c r="C1194" s="19"/>
      <c r="D1194"/>
    </row>
    <row r="1195" spans="2:4">
      <c r="B1195" s="56"/>
      <c r="C1195" s="19"/>
      <c r="D1195"/>
    </row>
    <row r="1196" spans="2:4">
      <c r="B1196" s="56"/>
      <c r="C1196" s="19"/>
      <c r="D1196"/>
    </row>
    <row r="1197" spans="2:4">
      <c r="B1197" s="56"/>
      <c r="C1197" s="19"/>
      <c r="D1197"/>
    </row>
    <row r="1198" spans="2:4">
      <c r="B1198" s="56"/>
      <c r="C1198" s="19"/>
      <c r="D1198"/>
    </row>
    <row r="1199" spans="2:4">
      <c r="B1199" s="56"/>
      <c r="C1199" s="19"/>
      <c r="D1199"/>
    </row>
    <row r="1200" spans="2:4">
      <c r="B1200" s="56"/>
      <c r="C1200" s="19"/>
      <c r="D1200"/>
    </row>
    <row r="1201" spans="2:4">
      <c r="B1201" s="56"/>
      <c r="C1201" s="19"/>
      <c r="D1201"/>
    </row>
    <row r="1202" spans="2:4">
      <c r="B1202" s="56"/>
      <c r="C1202" s="19"/>
      <c r="D1202"/>
    </row>
    <row r="1203" spans="2:4">
      <c r="B1203" s="56"/>
      <c r="C1203" s="19"/>
      <c r="D1203"/>
    </row>
    <row r="1204" spans="2:4">
      <c r="B1204" s="56"/>
      <c r="C1204" s="19"/>
      <c r="D1204"/>
    </row>
    <row r="1205" spans="2:4">
      <c r="B1205" s="56"/>
      <c r="C1205" s="19"/>
      <c r="D1205"/>
    </row>
    <row r="1206" spans="2:4">
      <c r="B1206" s="56"/>
      <c r="C1206" s="19"/>
      <c r="D1206"/>
    </row>
    <row r="1207" spans="2:4">
      <c r="B1207" s="56"/>
      <c r="C1207" s="19"/>
      <c r="D1207"/>
    </row>
    <row r="1208" spans="2:4">
      <c r="B1208" s="56"/>
      <c r="C1208" s="19"/>
      <c r="D1208"/>
    </row>
    <row r="1209" spans="2:4">
      <c r="B1209" s="56"/>
      <c r="C1209" s="19"/>
      <c r="D1209"/>
    </row>
    <row r="1210" spans="2:4">
      <c r="B1210" s="56"/>
      <c r="C1210" s="19"/>
      <c r="D1210"/>
    </row>
    <row r="1211" spans="2:4">
      <c r="B1211" s="56"/>
      <c r="C1211" s="19"/>
      <c r="D1211"/>
    </row>
    <row r="1212" spans="2:4">
      <c r="B1212" s="56"/>
      <c r="C1212" s="19"/>
      <c r="D1212"/>
    </row>
    <row r="1213" spans="2:4">
      <c r="B1213" s="56"/>
      <c r="C1213" s="19"/>
      <c r="D1213"/>
    </row>
    <row r="1214" spans="2:4">
      <c r="B1214" s="56"/>
      <c r="C1214" s="19"/>
      <c r="D1214"/>
    </row>
    <row r="1215" spans="2:4">
      <c r="B1215" s="56"/>
      <c r="C1215" s="19"/>
      <c r="D1215"/>
    </row>
    <row r="1216" spans="2:4">
      <c r="B1216" s="56"/>
      <c r="C1216" s="19"/>
      <c r="D1216"/>
    </row>
    <row r="1217" spans="2:4">
      <c r="B1217" s="56"/>
      <c r="C1217" s="19"/>
      <c r="D1217"/>
    </row>
    <row r="1218" spans="2:4">
      <c r="B1218" s="56"/>
      <c r="C1218" s="19"/>
      <c r="D1218"/>
    </row>
    <row r="1219" spans="2:4">
      <c r="B1219" s="56"/>
      <c r="C1219" s="19"/>
      <c r="D1219"/>
    </row>
    <row r="1220" spans="2:4">
      <c r="B1220" s="56"/>
      <c r="C1220" s="19"/>
      <c r="D1220"/>
    </row>
    <row r="1221" spans="2:4">
      <c r="B1221" s="56"/>
      <c r="C1221" s="19"/>
      <c r="D1221"/>
    </row>
    <row r="1222" spans="2:4">
      <c r="B1222" s="56"/>
      <c r="C1222" s="19"/>
      <c r="D1222"/>
    </row>
    <row r="1223" spans="2:4">
      <c r="B1223" s="56"/>
      <c r="C1223" s="19"/>
      <c r="D1223"/>
    </row>
    <row r="1224" spans="2:4">
      <c r="B1224" s="56"/>
      <c r="C1224" s="19"/>
      <c r="D1224"/>
    </row>
    <row r="1225" spans="2:4">
      <c r="B1225" s="56"/>
      <c r="C1225" s="19"/>
      <c r="D1225"/>
    </row>
    <row r="1226" spans="2:4">
      <c r="B1226" s="56"/>
      <c r="C1226" s="19"/>
      <c r="D1226"/>
    </row>
    <row r="1227" spans="2:4">
      <c r="B1227" s="56"/>
      <c r="C1227" s="19"/>
      <c r="D1227"/>
    </row>
    <row r="1228" spans="2:4">
      <c r="B1228" s="56"/>
      <c r="C1228" s="19"/>
      <c r="D1228"/>
    </row>
    <row r="1229" spans="2:4">
      <c r="B1229" s="56"/>
      <c r="C1229" s="19"/>
      <c r="D1229"/>
    </row>
    <row r="1230" spans="2:4">
      <c r="B1230" s="56"/>
      <c r="C1230" s="19"/>
      <c r="D1230"/>
    </row>
    <row r="1231" spans="2:4">
      <c r="B1231" s="56"/>
      <c r="C1231" s="19"/>
      <c r="D1231"/>
    </row>
    <row r="1232" spans="2:4">
      <c r="B1232" s="56"/>
      <c r="C1232" s="19"/>
      <c r="D1232"/>
    </row>
    <row r="1233" spans="2:4">
      <c r="B1233" s="56"/>
      <c r="C1233" s="19"/>
      <c r="D1233"/>
    </row>
    <row r="1234" spans="2:4">
      <c r="B1234" s="56"/>
      <c r="C1234" s="19"/>
      <c r="D1234"/>
    </row>
    <row r="1235" spans="2:4">
      <c r="B1235" s="56"/>
      <c r="C1235" s="19"/>
      <c r="D1235"/>
    </row>
    <row r="1236" spans="2:4">
      <c r="B1236" s="56"/>
      <c r="C1236" s="19"/>
      <c r="D1236"/>
    </row>
    <row r="1237" spans="2:4">
      <c r="B1237" s="56"/>
      <c r="C1237" s="19"/>
      <c r="D1237"/>
    </row>
    <row r="1238" spans="2:4">
      <c r="B1238" s="56"/>
      <c r="C1238" s="19"/>
      <c r="D1238"/>
    </row>
    <row r="1239" spans="2:4">
      <c r="B1239" s="56"/>
      <c r="C1239" s="19"/>
      <c r="D1239"/>
    </row>
    <row r="1240" spans="2:4">
      <c r="B1240" s="56"/>
      <c r="C1240" s="19"/>
      <c r="D1240"/>
    </row>
    <row r="1241" spans="2:4">
      <c r="B1241" s="56"/>
      <c r="C1241" s="19"/>
      <c r="D1241"/>
    </row>
    <row r="1242" spans="2:4">
      <c r="B1242" s="56"/>
      <c r="C1242" s="19"/>
      <c r="D1242"/>
    </row>
    <row r="1243" spans="2:4">
      <c r="B1243" s="56"/>
      <c r="C1243" s="19"/>
      <c r="D1243"/>
    </row>
    <row r="1244" spans="2:4">
      <c r="B1244" s="56"/>
      <c r="C1244" s="19"/>
      <c r="D1244"/>
    </row>
    <row r="1245" spans="2:4">
      <c r="B1245" s="56"/>
      <c r="C1245" s="19"/>
      <c r="D1245"/>
    </row>
    <row r="1246" spans="2:4">
      <c r="B1246" s="56"/>
      <c r="C1246" s="19"/>
      <c r="D1246"/>
    </row>
    <row r="1247" spans="2:4">
      <c r="B1247" s="56"/>
      <c r="C1247" s="19"/>
      <c r="D1247"/>
    </row>
    <row r="1248" spans="2:4">
      <c r="B1248" s="56"/>
      <c r="C1248" s="19"/>
      <c r="D1248"/>
    </row>
    <row r="1249" spans="2:4">
      <c r="B1249" s="56"/>
      <c r="C1249" s="19"/>
      <c r="D1249"/>
    </row>
    <row r="1250" spans="2:4">
      <c r="B1250" s="56"/>
      <c r="C1250" s="19"/>
      <c r="D1250"/>
    </row>
    <row r="1251" spans="2:4">
      <c r="B1251" s="56"/>
      <c r="C1251" s="19"/>
      <c r="D1251"/>
    </row>
    <row r="1252" spans="2:4">
      <c r="B1252" s="56"/>
      <c r="C1252" s="19"/>
      <c r="D1252"/>
    </row>
    <row r="1253" spans="2:4">
      <c r="B1253" s="56"/>
      <c r="C1253" s="19"/>
      <c r="D1253"/>
    </row>
    <row r="1254" spans="2:4">
      <c r="B1254" s="56"/>
      <c r="C1254" s="19"/>
      <c r="D1254"/>
    </row>
    <row r="1255" spans="2:4">
      <c r="B1255" s="56"/>
      <c r="C1255" s="19"/>
      <c r="D1255"/>
    </row>
    <row r="1256" spans="2:4">
      <c r="B1256" s="56"/>
      <c r="C1256" s="19"/>
      <c r="D1256"/>
    </row>
    <row r="1257" spans="2:4">
      <c r="B1257" s="56"/>
      <c r="C1257" s="19"/>
      <c r="D1257"/>
    </row>
    <row r="1258" spans="2:4">
      <c r="B1258" s="56"/>
      <c r="C1258" s="19"/>
      <c r="D1258"/>
    </row>
    <row r="1259" spans="2:4">
      <c r="B1259" s="56"/>
      <c r="C1259" s="19"/>
      <c r="D1259"/>
    </row>
    <row r="1260" spans="2:4">
      <c r="B1260" s="56"/>
      <c r="C1260" s="19"/>
      <c r="D1260"/>
    </row>
    <row r="1261" spans="2:4">
      <c r="B1261" s="56"/>
      <c r="C1261" s="19"/>
      <c r="D1261"/>
    </row>
    <row r="1262" spans="2:4">
      <c r="B1262" s="56"/>
      <c r="C1262" s="19"/>
      <c r="D1262"/>
    </row>
    <row r="1263" spans="2:4">
      <c r="B1263" s="56"/>
      <c r="C1263" s="19"/>
      <c r="D1263"/>
    </row>
    <row r="1264" spans="2:4">
      <c r="B1264" s="56"/>
      <c r="C1264" s="19"/>
      <c r="D1264"/>
    </row>
    <row r="1265" spans="2:4">
      <c r="B1265" s="56"/>
      <c r="C1265" s="19"/>
      <c r="D1265"/>
    </row>
    <row r="1266" spans="2:4">
      <c r="B1266" s="56"/>
      <c r="C1266" s="19"/>
      <c r="D1266"/>
    </row>
    <row r="1267" spans="2:4">
      <c r="B1267" s="56"/>
      <c r="C1267" s="19"/>
      <c r="D1267"/>
    </row>
    <row r="1268" spans="2:4">
      <c r="B1268" s="56"/>
      <c r="C1268" s="19"/>
      <c r="D1268"/>
    </row>
    <row r="1269" spans="2:4">
      <c r="B1269" s="56"/>
      <c r="C1269" s="19"/>
      <c r="D1269"/>
    </row>
    <row r="1270" spans="2:4">
      <c r="B1270" s="56"/>
      <c r="C1270" s="19"/>
      <c r="D1270"/>
    </row>
    <row r="1271" spans="2:4">
      <c r="B1271" s="56"/>
      <c r="C1271" s="19"/>
      <c r="D1271"/>
    </row>
    <row r="1272" spans="2:4">
      <c r="B1272" s="56"/>
      <c r="C1272" s="19"/>
      <c r="D1272"/>
    </row>
    <row r="1273" spans="2:4">
      <c r="B1273" s="56"/>
      <c r="C1273" s="19"/>
      <c r="D1273"/>
    </row>
    <row r="1274" spans="2:4">
      <c r="B1274" s="56"/>
      <c r="C1274" s="19"/>
      <c r="D1274"/>
    </row>
    <row r="1275" spans="2:4">
      <c r="B1275" s="56"/>
      <c r="C1275" s="19"/>
      <c r="D1275"/>
    </row>
    <row r="1276" spans="2:4">
      <c r="B1276" s="56"/>
      <c r="C1276" s="19"/>
      <c r="D1276"/>
    </row>
    <row r="1277" spans="2:4">
      <c r="B1277" s="56"/>
      <c r="C1277" s="19"/>
      <c r="D1277"/>
    </row>
    <row r="1278" spans="2:4">
      <c r="B1278" s="56"/>
      <c r="C1278" s="19"/>
      <c r="D1278"/>
    </row>
    <row r="1279" spans="2:4">
      <c r="B1279" s="56"/>
      <c r="C1279" s="19"/>
      <c r="D1279"/>
    </row>
    <row r="1280" spans="2:4">
      <c r="B1280" s="56"/>
      <c r="C1280" s="19"/>
      <c r="D1280"/>
    </row>
    <row r="1281" spans="2:4">
      <c r="B1281" s="56"/>
      <c r="C1281" s="19"/>
      <c r="D1281"/>
    </row>
    <row r="1282" spans="2:4">
      <c r="B1282" s="56"/>
      <c r="C1282" s="19"/>
      <c r="D1282"/>
    </row>
    <row r="1283" spans="2:4">
      <c r="B1283" s="56"/>
      <c r="C1283" s="19"/>
      <c r="D1283"/>
    </row>
    <row r="1284" spans="2:4">
      <c r="B1284" s="56"/>
      <c r="C1284" s="19"/>
      <c r="D1284"/>
    </row>
    <row r="1285" spans="2:4">
      <c r="B1285" s="56"/>
      <c r="C1285" s="19"/>
      <c r="D1285"/>
    </row>
    <row r="1286" spans="2:4">
      <c r="B1286" s="56"/>
      <c r="C1286" s="19"/>
      <c r="D1286"/>
    </row>
    <row r="1287" spans="2:4">
      <c r="B1287" s="56"/>
      <c r="C1287" s="19"/>
      <c r="D1287"/>
    </row>
    <row r="1288" spans="2:4">
      <c r="B1288" s="56"/>
      <c r="C1288" s="19"/>
      <c r="D1288"/>
    </row>
    <row r="1289" spans="2:4">
      <c r="B1289" s="56"/>
      <c r="C1289" s="19"/>
      <c r="D1289"/>
    </row>
    <row r="1290" spans="2:4">
      <c r="B1290" s="56"/>
      <c r="C1290" s="19"/>
      <c r="D1290"/>
    </row>
    <row r="1291" spans="2:4">
      <c r="B1291" s="56"/>
      <c r="C1291" s="19"/>
      <c r="D1291"/>
    </row>
    <row r="1292" spans="2:4">
      <c r="B1292" s="56"/>
      <c r="C1292" s="19"/>
      <c r="D1292"/>
    </row>
    <row r="1293" spans="2:4">
      <c r="B1293" s="56"/>
      <c r="C1293" s="19"/>
      <c r="D1293"/>
    </row>
    <row r="1294" spans="2:4">
      <c r="B1294" s="56"/>
      <c r="C1294" s="19"/>
      <c r="D1294"/>
    </row>
    <row r="1295" spans="2:4">
      <c r="B1295" s="56"/>
      <c r="C1295" s="19"/>
      <c r="D1295"/>
    </row>
    <row r="1296" spans="2:4">
      <c r="B1296" s="56"/>
      <c r="C1296" s="19"/>
      <c r="D1296"/>
    </row>
    <row r="1297" spans="2:4">
      <c r="B1297" s="56"/>
      <c r="C1297" s="19"/>
      <c r="D1297"/>
    </row>
    <row r="1298" spans="2:4">
      <c r="B1298" s="56"/>
      <c r="C1298" s="19"/>
      <c r="D1298"/>
    </row>
    <row r="1299" spans="2:4">
      <c r="B1299" s="56"/>
      <c r="C1299" s="19"/>
      <c r="D1299"/>
    </row>
    <row r="1300" spans="2:4">
      <c r="B1300" s="56"/>
      <c r="C1300" s="19"/>
      <c r="D1300"/>
    </row>
    <row r="1301" spans="2:4">
      <c r="B1301" s="56"/>
      <c r="C1301" s="19"/>
      <c r="D1301"/>
    </row>
    <row r="1302" spans="2:4">
      <c r="B1302" s="56"/>
      <c r="C1302" s="19"/>
      <c r="D1302"/>
    </row>
    <row r="1303" spans="2:4">
      <c r="B1303" s="56"/>
      <c r="C1303" s="19"/>
      <c r="D1303"/>
    </row>
    <row r="1304" spans="2:4">
      <c r="B1304" s="56"/>
      <c r="C1304" s="19"/>
      <c r="D1304"/>
    </row>
    <row r="1305" spans="2:4">
      <c r="B1305" s="56"/>
      <c r="C1305" s="19"/>
      <c r="D1305"/>
    </row>
    <row r="1306" spans="2:4">
      <c r="B1306" s="56"/>
      <c r="C1306" s="19"/>
      <c r="D1306"/>
    </row>
    <row r="1307" spans="2:4">
      <c r="B1307" s="56"/>
      <c r="C1307" s="19"/>
      <c r="D1307"/>
    </row>
    <row r="1308" spans="2:4">
      <c r="B1308" s="56"/>
      <c r="C1308" s="19"/>
      <c r="D1308"/>
    </row>
    <row r="1309" spans="2:4">
      <c r="B1309" s="56"/>
      <c r="C1309" s="19"/>
      <c r="D1309"/>
    </row>
    <row r="1310" spans="2:4">
      <c r="B1310" s="56"/>
      <c r="C1310" s="19"/>
      <c r="D1310"/>
    </row>
    <row r="1311" spans="2:4">
      <c r="B1311" s="56"/>
      <c r="C1311" s="19"/>
      <c r="D1311"/>
    </row>
    <row r="1312" spans="2:4">
      <c r="B1312" s="56"/>
      <c r="C1312" s="19"/>
      <c r="D1312"/>
    </row>
    <row r="1313" spans="2:4">
      <c r="B1313" s="56"/>
      <c r="C1313" s="19"/>
      <c r="D1313"/>
    </row>
    <row r="1314" spans="2:4">
      <c r="B1314" s="56"/>
      <c r="C1314" s="19"/>
      <c r="D1314"/>
    </row>
    <row r="1315" spans="2:4">
      <c r="B1315" s="56"/>
      <c r="C1315" s="19"/>
      <c r="D1315"/>
    </row>
    <row r="1316" spans="2:4">
      <c r="B1316" s="56"/>
      <c r="C1316" s="19"/>
      <c r="D1316"/>
    </row>
    <row r="1317" spans="2:4">
      <c r="B1317" s="56"/>
      <c r="C1317" s="19"/>
      <c r="D1317"/>
    </row>
    <row r="1318" spans="2:4">
      <c r="B1318" s="56"/>
      <c r="C1318" s="19"/>
      <c r="D1318"/>
    </row>
    <row r="1319" spans="2:4">
      <c r="B1319" s="56"/>
      <c r="C1319" s="19"/>
      <c r="D1319"/>
    </row>
    <row r="1320" spans="2:4">
      <c r="B1320" s="56"/>
      <c r="C1320" s="19"/>
      <c r="D1320"/>
    </row>
    <row r="1321" spans="2:4">
      <c r="B1321" s="56"/>
      <c r="C1321" s="19"/>
      <c r="D1321"/>
    </row>
    <row r="1322" spans="2:4">
      <c r="B1322" s="56"/>
      <c r="C1322" s="19"/>
      <c r="D1322"/>
    </row>
    <row r="1323" spans="2:4">
      <c r="B1323" s="56"/>
      <c r="C1323" s="19"/>
      <c r="D1323"/>
    </row>
    <row r="1324" spans="2:4">
      <c r="B1324" s="56"/>
      <c r="C1324" s="19"/>
      <c r="D1324"/>
    </row>
    <row r="1325" spans="2:4">
      <c r="B1325" s="56"/>
      <c r="C1325" s="19"/>
      <c r="D1325"/>
    </row>
    <row r="1326" spans="2:4">
      <c r="B1326" s="56"/>
      <c r="C1326" s="19"/>
      <c r="D1326"/>
    </row>
    <row r="1327" spans="2:4">
      <c r="B1327" s="56"/>
      <c r="C1327" s="19"/>
      <c r="D1327"/>
    </row>
    <row r="1328" spans="2:4">
      <c r="B1328" s="56"/>
      <c r="C1328" s="19"/>
      <c r="D1328"/>
    </row>
    <row r="1329" spans="2:4">
      <c r="B1329" s="56"/>
      <c r="C1329" s="19"/>
      <c r="D1329"/>
    </row>
    <row r="1330" spans="2:4">
      <c r="B1330" s="56"/>
      <c r="C1330" s="19"/>
      <c r="D1330"/>
    </row>
    <row r="1331" spans="2:4">
      <c r="B1331" s="56"/>
      <c r="C1331" s="19"/>
      <c r="D1331"/>
    </row>
    <row r="1332" spans="2:4">
      <c r="B1332" s="56"/>
      <c r="C1332" s="19"/>
      <c r="D1332"/>
    </row>
    <row r="1333" spans="2:4">
      <c r="B1333" s="56"/>
      <c r="C1333" s="19"/>
      <c r="D1333"/>
    </row>
    <row r="1334" spans="2:4">
      <c r="B1334" s="56"/>
      <c r="C1334" s="19"/>
      <c r="D1334"/>
    </row>
    <row r="1335" spans="2:4">
      <c r="B1335" s="56"/>
      <c r="C1335" s="19"/>
      <c r="D1335"/>
    </row>
    <row r="1336" spans="2:4">
      <c r="B1336" s="56"/>
      <c r="C1336" s="19"/>
      <c r="D1336"/>
    </row>
    <row r="1337" spans="2:4">
      <c r="B1337" s="56"/>
      <c r="C1337" s="19"/>
      <c r="D1337"/>
    </row>
    <row r="1338" spans="2:4">
      <c r="B1338" s="56"/>
      <c r="C1338" s="19"/>
      <c r="D1338"/>
    </row>
    <row r="1339" spans="2:4">
      <c r="B1339" s="56"/>
      <c r="C1339" s="19"/>
      <c r="D1339"/>
    </row>
    <row r="1340" spans="2:4">
      <c r="B1340" s="56"/>
      <c r="C1340" s="19"/>
      <c r="D1340"/>
    </row>
    <row r="1341" spans="2:4">
      <c r="B1341" s="56"/>
      <c r="C1341" s="19"/>
      <c r="D1341"/>
    </row>
    <row r="1342" spans="2:4">
      <c r="B1342" s="56"/>
      <c r="C1342" s="19"/>
      <c r="D1342"/>
    </row>
    <row r="1343" spans="2:4">
      <c r="B1343" s="56"/>
      <c r="C1343" s="19"/>
      <c r="D1343"/>
    </row>
    <row r="1344" spans="2:4">
      <c r="B1344" s="56"/>
      <c r="C1344" s="19"/>
      <c r="D1344"/>
    </row>
    <row r="1345" spans="2:4">
      <c r="B1345" s="56"/>
      <c r="C1345" s="19"/>
      <c r="D1345"/>
    </row>
    <row r="1346" spans="2:4">
      <c r="B1346" s="56"/>
      <c r="C1346" s="19"/>
      <c r="D1346"/>
    </row>
    <row r="1347" spans="2:4">
      <c r="B1347" s="56"/>
      <c r="C1347" s="19"/>
      <c r="D1347"/>
    </row>
    <row r="1348" spans="2:4">
      <c r="B1348" s="56"/>
      <c r="C1348" s="19"/>
      <c r="D1348"/>
    </row>
    <row r="1349" spans="2:4">
      <c r="B1349" s="56"/>
      <c r="C1349" s="19"/>
      <c r="D1349"/>
    </row>
    <row r="1350" spans="2:4">
      <c r="B1350" s="56"/>
      <c r="C1350" s="19"/>
      <c r="D1350"/>
    </row>
    <row r="1351" spans="2:4">
      <c r="B1351" s="56"/>
      <c r="C1351" s="19"/>
      <c r="D1351"/>
    </row>
    <row r="1352" spans="2:4">
      <c r="B1352" s="56"/>
      <c r="C1352" s="19"/>
      <c r="D1352"/>
    </row>
    <row r="1353" spans="2:4">
      <c r="B1353" s="56"/>
      <c r="C1353" s="19"/>
      <c r="D1353"/>
    </row>
    <row r="1354" spans="2:4">
      <c r="B1354" s="56"/>
      <c r="C1354" s="19"/>
      <c r="D1354"/>
    </row>
    <row r="1355" spans="2:4">
      <c r="B1355" s="56"/>
      <c r="C1355" s="19"/>
      <c r="D1355"/>
    </row>
    <row r="1356" spans="2:4">
      <c r="B1356" s="56"/>
      <c r="C1356" s="19"/>
      <c r="D1356"/>
    </row>
    <row r="1357" spans="2:4">
      <c r="B1357" s="56"/>
      <c r="C1357" s="19"/>
      <c r="D1357"/>
    </row>
    <row r="1358" spans="2:4">
      <c r="B1358" s="56"/>
      <c r="C1358" s="19"/>
      <c r="D1358"/>
    </row>
    <row r="1359" spans="2:4">
      <c r="B1359" s="56"/>
      <c r="C1359" s="19"/>
      <c r="D1359"/>
    </row>
    <row r="1360" spans="2:4">
      <c r="B1360" s="56"/>
      <c r="C1360" s="19"/>
      <c r="D1360"/>
    </row>
    <row r="1361" spans="2:4">
      <c r="B1361" s="56"/>
      <c r="C1361" s="19"/>
      <c r="D1361"/>
    </row>
    <row r="1362" spans="2:4">
      <c r="B1362" s="56"/>
      <c r="C1362" s="19"/>
      <c r="D1362"/>
    </row>
    <row r="1363" spans="2:4">
      <c r="B1363" s="56"/>
      <c r="C1363" s="19"/>
      <c r="D1363"/>
    </row>
    <row r="1364" spans="2:4">
      <c r="B1364" s="56"/>
      <c r="C1364" s="19"/>
      <c r="D1364"/>
    </row>
    <row r="1365" spans="2:4">
      <c r="B1365" s="56"/>
      <c r="C1365" s="19"/>
      <c r="D1365"/>
    </row>
    <row r="1366" spans="2:4">
      <c r="B1366" s="56"/>
      <c r="C1366" s="19"/>
      <c r="D1366"/>
    </row>
    <row r="1367" spans="2:4">
      <c r="B1367" s="56"/>
      <c r="C1367" s="19"/>
      <c r="D1367"/>
    </row>
    <row r="1368" spans="2:4">
      <c r="B1368" s="56"/>
      <c r="C1368" s="19"/>
      <c r="D1368"/>
    </row>
    <row r="1369" spans="2:4">
      <c r="B1369" s="56"/>
      <c r="C1369" s="19"/>
      <c r="D1369"/>
    </row>
    <row r="1370" spans="2:4">
      <c r="B1370" s="56"/>
      <c r="C1370" s="19"/>
      <c r="D1370"/>
    </row>
    <row r="1371" spans="2:4">
      <c r="B1371" s="56"/>
      <c r="C1371" s="19"/>
      <c r="D1371"/>
    </row>
    <row r="1372" spans="2:4">
      <c r="B1372" s="56"/>
      <c r="C1372" s="19"/>
      <c r="D1372"/>
    </row>
    <row r="1373" spans="2:4">
      <c r="B1373" s="56"/>
      <c r="C1373" s="19"/>
      <c r="D1373"/>
    </row>
    <row r="1374" spans="2:4">
      <c r="B1374" s="56"/>
      <c r="C1374" s="19"/>
      <c r="D1374"/>
    </row>
    <row r="1375" spans="2:4">
      <c r="B1375" s="56"/>
      <c r="C1375" s="19"/>
      <c r="D1375"/>
    </row>
    <row r="1376" spans="2:4">
      <c r="B1376" s="56"/>
      <c r="C1376" s="19"/>
      <c r="D1376"/>
    </row>
    <row r="1377" spans="2:4">
      <c r="B1377" s="56"/>
      <c r="C1377" s="19"/>
      <c r="D1377"/>
    </row>
    <row r="1378" spans="2:4">
      <c r="B1378" s="56"/>
      <c r="C1378" s="19"/>
      <c r="D1378"/>
    </row>
    <row r="1379" spans="2:4">
      <c r="B1379" s="56"/>
      <c r="C1379" s="19"/>
      <c r="D1379"/>
    </row>
    <row r="1380" spans="2:4">
      <c r="B1380" s="56"/>
      <c r="C1380" s="19"/>
      <c r="D1380"/>
    </row>
    <row r="1381" spans="2:4">
      <c r="B1381" s="56"/>
      <c r="C1381" s="19"/>
      <c r="D1381"/>
    </row>
    <row r="1382" spans="2:4">
      <c r="B1382" s="56"/>
      <c r="C1382" s="19"/>
      <c r="D1382"/>
    </row>
    <row r="1383" spans="2:4">
      <c r="B1383" s="56"/>
      <c r="C1383" s="19"/>
      <c r="D1383"/>
    </row>
    <row r="1384" spans="2:4">
      <c r="B1384" s="56"/>
      <c r="C1384" s="19"/>
      <c r="D1384"/>
    </row>
    <row r="1385" spans="2:4">
      <c r="B1385" s="56"/>
      <c r="C1385" s="19"/>
      <c r="D1385"/>
    </row>
    <row r="1386" spans="2:4">
      <c r="B1386" s="56"/>
      <c r="C1386" s="19"/>
      <c r="D1386"/>
    </row>
    <row r="1387" spans="2:4">
      <c r="B1387" s="56"/>
      <c r="C1387" s="19"/>
      <c r="D1387"/>
    </row>
    <row r="1388" spans="2:4">
      <c r="B1388" s="56"/>
      <c r="C1388" s="19"/>
      <c r="D1388"/>
    </row>
    <row r="1389" spans="2:4">
      <c r="B1389" s="56"/>
      <c r="C1389" s="19"/>
      <c r="D1389"/>
    </row>
    <row r="1390" spans="2:4">
      <c r="B1390" s="56"/>
      <c r="C1390" s="19"/>
      <c r="D1390"/>
    </row>
    <row r="1391" spans="2:4">
      <c r="B1391" s="56"/>
      <c r="C1391" s="19"/>
      <c r="D1391"/>
    </row>
    <row r="1392" spans="2:4">
      <c r="B1392" s="56"/>
      <c r="C1392" s="19"/>
      <c r="D1392"/>
    </row>
    <row r="1393" spans="2:4">
      <c r="B1393" s="56"/>
      <c r="C1393" s="19"/>
      <c r="D1393"/>
    </row>
    <row r="1394" spans="2:4">
      <c r="B1394" s="56"/>
      <c r="C1394" s="19"/>
      <c r="D1394"/>
    </row>
    <row r="1395" spans="2:4">
      <c r="B1395" s="56"/>
      <c r="C1395" s="19"/>
      <c r="D1395"/>
    </row>
    <row r="1396" spans="2:4">
      <c r="B1396" s="56"/>
      <c r="C1396" s="19"/>
      <c r="D1396"/>
    </row>
    <row r="1397" spans="2:4">
      <c r="B1397" s="56"/>
      <c r="C1397" s="19"/>
      <c r="D1397"/>
    </row>
    <row r="1398" spans="2:4">
      <c r="B1398" s="56"/>
      <c r="C1398" s="19"/>
      <c r="D1398"/>
    </row>
    <row r="1399" spans="2:4">
      <c r="B1399" s="56"/>
      <c r="C1399" s="19"/>
      <c r="D1399"/>
    </row>
    <row r="1400" spans="2:4">
      <c r="B1400" s="56"/>
      <c r="C1400" s="19"/>
      <c r="D1400"/>
    </row>
    <row r="1401" spans="2:4">
      <c r="B1401" s="56"/>
      <c r="C1401" s="19"/>
      <c r="D1401"/>
    </row>
    <row r="1402" spans="2:4">
      <c r="B1402" s="56"/>
      <c r="C1402" s="19"/>
      <c r="D1402"/>
    </row>
    <row r="1403" spans="2:4">
      <c r="B1403" s="56"/>
      <c r="C1403" s="19"/>
      <c r="D1403"/>
    </row>
    <row r="1404" spans="2:4">
      <c r="B1404" s="56"/>
      <c r="C1404" s="19"/>
      <c r="D1404"/>
    </row>
    <row r="1405" spans="2:4">
      <c r="B1405" s="56"/>
      <c r="C1405" s="19"/>
      <c r="D1405"/>
    </row>
    <row r="1406" spans="2:4">
      <c r="B1406" s="56"/>
      <c r="C1406" s="19"/>
      <c r="D1406"/>
    </row>
    <row r="1407" spans="2:4">
      <c r="B1407" s="56"/>
      <c r="C1407" s="19"/>
      <c r="D1407"/>
    </row>
    <row r="1408" spans="2:4">
      <c r="B1408" s="56"/>
      <c r="C1408" s="19"/>
      <c r="D1408"/>
    </row>
    <row r="1409" spans="2:4">
      <c r="B1409" s="56"/>
      <c r="C1409" s="19"/>
      <c r="D1409"/>
    </row>
    <row r="1410" spans="2:4">
      <c r="B1410" s="56"/>
      <c r="C1410" s="19"/>
      <c r="D1410"/>
    </row>
    <row r="1411" spans="2:4">
      <c r="B1411" s="56"/>
      <c r="C1411" s="19"/>
      <c r="D1411"/>
    </row>
    <row r="1412" spans="2:4">
      <c r="B1412" s="56"/>
      <c r="C1412" s="19"/>
      <c r="D1412"/>
    </row>
    <row r="1413" spans="2:4">
      <c r="B1413" s="56"/>
      <c r="C1413" s="19"/>
      <c r="D1413"/>
    </row>
    <row r="1414" spans="2:4">
      <c r="B1414" s="56"/>
      <c r="C1414" s="19"/>
      <c r="D1414"/>
    </row>
    <row r="1415" spans="2:4">
      <c r="B1415" s="56"/>
      <c r="C1415" s="19"/>
      <c r="D1415"/>
    </row>
    <row r="1416" spans="2:4">
      <c r="B1416" s="56"/>
      <c r="C1416" s="19"/>
      <c r="D1416"/>
    </row>
    <row r="1417" spans="2:4">
      <c r="B1417" s="56"/>
      <c r="C1417" s="19"/>
      <c r="D1417"/>
    </row>
    <row r="1418" spans="2:4">
      <c r="B1418" s="56"/>
      <c r="C1418" s="19"/>
      <c r="D1418"/>
    </row>
    <row r="1419" spans="2:4">
      <c r="B1419" s="56"/>
      <c r="C1419" s="19"/>
      <c r="D1419"/>
    </row>
    <row r="1420" spans="2:4">
      <c r="B1420" s="56"/>
      <c r="C1420" s="19"/>
      <c r="D1420"/>
    </row>
    <row r="1421" spans="2:4">
      <c r="B1421" s="56"/>
      <c r="C1421" s="19"/>
      <c r="D1421"/>
    </row>
    <row r="1422" spans="2:4">
      <c r="B1422" s="56"/>
      <c r="C1422" s="19"/>
      <c r="D1422"/>
    </row>
    <row r="1423" spans="2:4">
      <c r="B1423" s="56"/>
      <c r="C1423" s="19"/>
      <c r="D1423"/>
    </row>
    <row r="1424" spans="2:4">
      <c r="B1424" s="56"/>
      <c r="C1424" s="19"/>
      <c r="D1424"/>
    </row>
    <row r="1425" spans="2:4">
      <c r="B1425" s="56"/>
      <c r="C1425" s="19"/>
      <c r="D1425"/>
    </row>
    <row r="1426" spans="2:4">
      <c r="B1426" s="56"/>
      <c r="C1426" s="19"/>
      <c r="D1426"/>
    </row>
    <row r="1427" spans="2:4">
      <c r="B1427" s="56"/>
      <c r="C1427" s="19"/>
      <c r="D1427"/>
    </row>
    <row r="1428" spans="2:4">
      <c r="B1428" s="56"/>
      <c r="C1428" s="19"/>
      <c r="D1428"/>
    </row>
  </sheetData>
  <sheetProtection selectLockedCells="1"/>
  <mergeCells count="2">
    <mergeCell ref="B2:D4"/>
    <mergeCell ref="F8:I10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1866-EA88-4433-8B55-BAEE0D4AAAD3}">
  <sheetPr codeName="Planilha7"/>
  <dimension ref="B1:J1048571"/>
  <sheetViews>
    <sheetView showGridLines="0" workbookViewId="0">
      <selection activeCell="B12" sqref="B12"/>
    </sheetView>
  </sheetViews>
  <sheetFormatPr defaultRowHeight="15"/>
  <cols>
    <col min="2" max="2" width="34.28515625" customWidth="1"/>
    <col min="3" max="3" width="25.140625" customWidth="1"/>
    <col min="4" max="4" width="8.85546875" customWidth="1"/>
    <col min="5" max="5" width="18.5703125" customWidth="1"/>
    <col min="6" max="6" width="21.28515625" customWidth="1"/>
    <col min="7" max="7" width="26.28515625" customWidth="1"/>
    <col min="8" max="8" width="3.28515625" customWidth="1"/>
  </cols>
  <sheetData>
    <row r="1" spans="2:10">
      <c r="B1" s="26"/>
      <c r="C1" s="21"/>
      <c r="D1" s="1"/>
      <c r="E1" s="1"/>
      <c r="G1" s="1"/>
      <c r="H1" s="1"/>
    </row>
    <row r="2" spans="2:10" ht="14.45" customHeight="1">
      <c r="B2" s="207" t="s">
        <v>929</v>
      </c>
      <c r="C2" s="213"/>
      <c r="D2" s="14"/>
      <c r="E2" s="1"/>
      <c r="F2" s="1"/>
      <c r="G2" s="1"/>
      <c r="H2" s="1"/>
      <c r="I2" s="14"/>
      <c r="J2" s="14"/>
    </row>
    <row r="3" spans="2:10" ht="14.45" customHeight="1">
      <c r="B3" s="213"/>
      <c r="C3" s="213"/>
      <c r="D3" s="14"/>
      <c r="E3" s="1"/>
      <c r="F3" s="1"/>
      <c r="G3" s="1"/>
      <c r="H3" s="1"/>
      <c r="I3" s="14"/>
      <c r="J3" s="14"/>
    </row>
    <row r="4" spans="2:10" ht="14.45" customHeight="1">
      <c r="B4" s="213"/>
      <c r="C4" s="213"/>
      <c r="D4" s="14"/>
      <c r="E4" s="1"/>
      <c r="F4" s="1"/>
      <c r="G4" s="1"/>
      <c r="H4" s="1"/>
      <c r="I4" s="14"/>
      <c r="J4" s="14"/>
    </row>
    <row r="5" spans="2:10">
      <c r="B5" s="26"/>
      <c r="C5" s="21"/>
      <c r="D5" s="1"/>
      <c r="E5" s="1"/>
      <c r="F5" s="1"/>
      <c r="G5" s="1"/>
      <c r="H5" s="1"/>
      <c r="I5" s="1"/>
    </row>
    <row r="6" spans="2:10" ht="14.45" customHeight="1">
      <c r="B6" s="41" t="s">
        <v>925</v>
      </c>
      <c r="C6" s="42" t="s">
        <v>935</v>
      </c>
      <c r="D6" s="5"/>
      <c r="E6" s="1"/>
      <c r="F6" s="1"/>
      <c r="G6" s="1"/>
      <c r="H6" s="1"/>
      <c r="I6" s="1"/>
    </row>
    <row r="7" spans="2:10" ht="15" customHeight="1">
      <c r="B7" s="43" t="s">
        <v>809</v>
      </c>
      <c r="C7" s="36"/>
      <c r="D7" s="1"/>
      <c r="E7" s="1"/>
      <c r="F7" s="1"/>
      <c r="G7" s="1"/>
      <c r="H7" s="1"/>
      <c r="I7" s="1"/>
    </row>
    <row r="8" spans="2:10" ht="14.45" customHeight="1">
      <c r="B8" s="43" t="s">
        <v>810</v>
      </c>
      <c r="C8" s="36"/>
      <c r="D8" s="1"/>
      <c r="E8" s="7"/>
      <c r="F8" s="7"/>
      <c r="G8" s="7"/>
      <c r="H8" s="7"/>
      <c r="I8" s="1"/>
    </row>
    <row r="9" spans="2:10">
      <c r="B9" s="43" t="s">
        <v>811</v>
      </c>
      <c r="C9" s="36"/>
      <c r="D9" s="6"/>
      <c r="E9" s="209" t="s">
        <v>926</v>
      </c>
      <c r="F9" s="209"/>
      <c r="G9" s="209"/>
      <c r="H9" s="210"/>
    </row>
    <row r="10" spans="2:10">
      <c r="B10" s="43" t="s">
        <v>812</v>
      </c>
      <c r="C10" s="36"/>
      <c r="D10" s="6"/>
      <c r="E10" s="207"/>
      <c r="F10" s="207"/>
      <c r="G10" s="207"/>
      <c r="H10" s="212"/>
    </row>
    <row r="11" spans="2:10">
      <c r="B11" s="43" t="s">
        <v>813</v>
      </c>
      <c r="C11" s="36"/>
      <c r="D11" s="6"/>
      <c r="E11" s="207"/>
      <c r="F11" s="207"/>
      <c r="G11" s="207"/>
      <c r="H11" s="212"/>
    </row>
    <row r="12" spans="2:10" ht="15.75" thickBot="1">
      <c r="B12" s="43" t="s">
        <v>814</v>
      </c>
      <c r="C12" s="36"/>
      <c r="D12" s="6"/>
      <c r="H12" s="6"/>
    </row>
    <row r="13" spans="2:10" ht="15" customHeight="1">
      <c r="B13" s="43" t="s">
        <v>815</v>
      </c>
      <c r="C13" s="36"/>
      <c r="D13" s="6"/>
      <c r="E13" s="14"/>
      <c r="F13" s="2" t="s">
        <v>927</v>
      </c>
      <c r="G13" s="25"/>
      <c r="H13" s="6"/>
    </row>
    <row r="14" spans="2:10" ht="15.6" customHeight="1" thickBot="1">
      <c r="B14" s="43" t="s">
        <v>816</v>
      </c>
      <c r="C14" s="36"/>
      <c r="D14" s="6"/>
      <c r="E14" s="14"/>
      <c r="F14" s="3"/>
      <c r="G14" s="1"/>
      <c r="H14" s="6"/>
    </row>
    <row r="15" spans="2:10" ht="14.45" customHeight="1">
      <c r="B15" s="43" t="s">
        <v>817</v>
      </c>
      <c r="C15" s="36"/>
      <c r="D15" s="6"/>
      <c r="E15" s="14"/>
      <c r="F15" s="2" t="s">
        <v>928</v>
      </c>
      <c r="G15" s="9"/>
      <c r="H15" s="6"/>
    </row>
    <row r="16" spans="2:10" ht="14.45" customHeight="1">
      <c r="B16" s="43" t="s">
        <v>818</v>
      </c>
      <c r="C16" s="44"/>
      <c r="D16" s="22"/>
      <c r="E16" s="1"/>
      <c r="F16" s="1"/>
      <c r="H16" s="6"/>
    </row>
    <row r="17" spans="2:8" ht="14.45" customHeight="1">
      <c r="B17" s="43" t="s">
        <v>819</v>
      </c>
      <c r="C17" s="44"/>
      <c r="D17" s="22"/>
      <c r="H17" s="6"/>
    </row>
    <row r="18" spans="2:8" ht="14.45" customHeight="1">
      <c r="B18" s="43" t="s">
        <v>820</v>
      </c>
      <c r="C18" s="44"/>
      <c r="D18" s="22"/>
      <c r="E18" s="8"/>
      <c r="F18" s="7"/>
      <c r="G18" s="7"/>
      <c r="H18" s="12"/>
    </row>
    <row r="19" spans="2:8">
      <c r="B19" s="45" t="s">
        <v>930</v>
      </c>
      <c r="C19" s="37">
        <v>856</v>
      </c>
      <c r="D19" s="1"/>
      <c r="E19" s="10"/>
    </row>
    <row r="20" spans="2:8">
      <c r="B20" s="119" t="s">
        <v>956</v>
      </c>
      <c r="C20" s="120">
        <v>3323</v>
      </c>
      <c r="D20" s="1"/>
    </row>
    <row r="1048571" spans="2:3">
      <c r="B1048571" s="26"/>
      <c r="C1048571" s="21"/>
    </row>
  </sheetData>
  <sheetProtection selectLockedCells="1"/>
  <mergeCells count="2">
    <mergeCell ref="B2:C4"/>
    <mergeCell ref="E9:H1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8928A-8F1E-4932-AB59-294561C050E0}">
  <sheetPr codeName="Planilha8"/>
  <dimension ref="A1:M714"/>
  <sheetViews>
    <sheetView showGridLines="0" zoomScale="130" zoomScaleNormal="130" workbookViewId="0">
      <selection activeCell="D596" sqref="D596"/>
    </sheetView>
  </sheetViews>
  <sheetFormatPr defaultRowHeight="15"/>
  <cols>
    <col min="1" max="1" width="41.85546875" customWidth="1"/>
    <col min="2" max="2" width="0.42578125" style="83" customWidth="1"/>
    <col min="3" max="3" width="0.28515625" style="1" customWidth="1"/>
    <col min="4" max="4" width="56.42578125" style="182" customWidth="1"/>
  </cols>
  <sheetData>
    <row r="1" spans="1:8" ht="15.75">
      <c r="A1" s="98" t="s">
        <v>939</v>
      </c>
      <c r="D1" s="97" t="s">
        <v>951</v>
      </c>
      <c r="F1" s="214"/>
      <c r="G1" s="214"/>
      <c r="H1" s="214"/>
    </row>
    <row r="2" spans="1:8">
      <c r="A2" s="90" t="s">
        <v>190</v>
      </c>
      <c r="C2" s="1">
        <v>0</v>
      </c>
      <c r="D2" s="182">
        <f>SUMIF(Produção!C:C, A2, Produção!U:U)</f>
        <v>0</v>
      </c>
    </row>
    <row r="3" spans="1:8">
      <c r="A3" s="91" t="s">
        <v>191</v>
      </c>
      <c r="D3" s="182">
        <f>SUMIF(Produção!C:C, A3, Produção!U:U)</f>
        <v>0</v>
      </c>
    </row>
    <row r="4" spans="1:8">
      <c r="A4" s="90" t="s">
        <v>192</v>
      </c>
      <c r="D4" s="182">
        <f>SUMIF(Produção!C:C, A4, Produção!U:U)</f>
        <v>0</v>
      </c>
    </row>
    <row r="5" spans="1:8">
      <c r="A5" s="91" t="s">
        <v>193</v>
      </c>
      <c r="D5" s="182">
        <f>SUMIF(Produção!C:C, A5, Produção!U:U)</f>
        <v>0</v>
      </c>
    </row>
    <row r="6" spans="1:8">
      <c r="A6" s="90" t="s">
        <v>194</v>
      </c>
      <c r="D6" s="182">
        <f>SUMIF(Produção!C:C, A6, Produção!U:U)</f>
        <v>0</v>
      </c>
    </row>
    <row r="7" spans="1:8">
      <c r="A7" s="91" t="s">
        <v>195</v>
      </c>
      <c r="C7" s="1">
        <v>0</v>
      </c>
      <c r="D7" s="182">
        <f>SUMIF(Produção!C:C, A7, Produção!U:U)</f>
        <v>0</v>
      </c>
    </row>
    <row r="8" spans="1:8">
      <c r="A8" s="90" t="s">
        <v>196</v>
      </c>
      <c r="D8" s="182">
        <f>SUMIF(Produção!C:C, A8, Produção!U:U)</f>
        <v>0</v>
      </c>
    </row>
    <row r="9" spans="1:8">
      <c r="A9" s="91" t="s">
        <v>197</v>
      </c>
      <c r="D9" s="182">
        <f>SUMIF(Produção!C:C, A9, Produção!U:U)</f>
        <v>0</v>
      </c>
    </row>
    <row r="10" spans="1:8">
      <c r="A10" s="90" t="s">
        <v>198</v>
      </c>
      <c r="D10" s="182">
        <f>SUMIF(Produção!C:C, A10, Produção!U:U)</f>
        <v>0</v>
      </c>
    </row>
    <row r="11" spans="1:8">
      <c r="A11" s="91" t="s">
        <v>199</v>
      </c>
      <c r="D11" s="182">
        <f>SUMIF(Produção!C:C, A11, Produção!U:U)</f>
        <v>0</v>
      </c>
    </row>
    <row r="12" spans="1:8">
      <c r="A12" s="90" t="s">
        <v>200</v>
      </c>
      <c r="C12" s="1">
        <v>0</v>
      </c>
      <c r="D12" s="182">
        <f>SUMIF(Produção!C:C, A12, Produção!U:U)</f>
        <v>0</v>
      </c>
    </row>
    <row r="13" spans="1:8">
      <c r="A13" s="91" t="s">
        <v>201</v>
      </c>
      <c r="D13" s="182">
        <f>SUMIF(Produção!C:C, A13, Produção!U:U)</f>
        <v>0</v>
      </c>
    </row>
    <row r="14" spans="1:8">
      <c r="A14" s="90" t="s">
        <v>202</v>
      </c>
      <c r="D14" s="182">
        <f>SUMIF(Produção!C:C, A14, Produção!U:U)</f>
        <v>0</v>
      </c>
    </row>
    <row r="15" spans="1:8">
      <c r="A15" s="91" t="s">
        <v>203</v>
      </c>
      <c r="D15" s="182">
        <f>SUMIF(Produção!C:C, A15, Produção!U:U)</f>
        <v>0</v>
      </c>
    </row>
    <row r="16" spans="1:8">
      <c r="A16" s="90" t="s">
        <v>204</v>
      </c>
      <c r="D16" s="182">
        <f>SUMIF(Produção!C:C, A16, Produção!U:U)</f>
        <v>0</v>
      </c>
    </row>
    <row r="17" spans="1:13">
      <c r="A17" s="91" t="s">
        <v>205</v>
      </c>
      <c r="D17" s="182">
        <f>SUMIF(Produção!C:C, A17, Produção!U:U)</f>
        <v>0</v>
      </c>
    </row>
    <row r="18" spans="1:13">
      <c r="A18" s="90" t="s">
        <v>206</v>
      </c>
      <c r="D18" s="182">
        <f>SUMIF(Produção!C:C, A18, Produção!U:U)</f>
        <v>0</v>
      </c>
      <c r="M18" s="17"/>
    </row>
    <row r="19" spans="1:13">
      <c r="A19" s="91" t="s">
        <v>207</v>
      </c>
      <c r="D19" s="182">
        <f>SUMIF(Produção!C:C, A19, Produção!U:U)</f>
        <v>0</v>
      </c>
    </row>
    <row r="20" spans="1:13">
      <c r="A20" s="90" t="s">
        <v>208</v>
      </c>
      <c r="D20" s="182">
        <f>SUMIF(Produção!C:C, A20, Produção!U:U)</f>
        <v>0</v>
      </c>
    </row>
    <row r="21" spans="1:13">
      <c r="A21" s="91" t="s">
        <v>209</v>
      </c>
      <c r="D21" s="182">
        <f>SUMIF(Produção!C:C, A21, Produção!U:U)</f>
        <v>0</v>
      </c>
    </row>
    <row r="22" spans="1:13">
      <c r="A22" s="90" t="s">
        <v>210</v>
      </c>
      <c r="D22" s="182">
        <f>SUMIF(Produção!C:C, A22, Produção!U:U)</f>
        <v>0</v>
      </c>
    </row>
    <row r="23" spans="1:13">
      <c r="A23" s="91" t="s">
        <v>211</v>
      </c>
      <c r="C23" s="1">
        <v>0</v>
      </c>
      <c r="D23" s="182">
        <f>SUMIF(Produção!C:C, A23, Produção!U:U)</f>
        <v>0</v>
      </c>
    </row>
    <row r="24" spans="1:13">
      <c r="A24" s="90" t="s">
        <v>212</v>
      </c>
      <c r="D24" s="182">
        <f>SUMIF(Produção!C:C, A24, Produção!U:U)</f>
        <v>0</v>
      </c>
      <c r="K24" s="68"/>
    </row>
    <row r="25" spans="1:13">
      <c r="A25" s="91" t="s">
        <v>213</v>
      </c>
      <c r="C25" s="1">
        <v>0</v>
      </c>
      <c r="D25" s="182">
        <f>SUMIF(Produção!C:C, A25, Produção!U:U)</f>
        <v>0</v>
      </c>
    </row>
    <row r="26" spans="1:13">
      <c r="A26" s="90" t="s">
        <v>214</v>
      </c>
      <c r="D26" s="182">
        <f>SUMIF(Produção!C:C, A26, Produção!U:U)</f>
        <v>0</v>
      </c>
    </row>
    <row r="27" spans="1:13">
      <c r="A27" s="91" t="s">
        <v>215</v>
      </c>
      <c r="D27" s="182">
        <f>SUMIF(Produção!C:C, A27, Produção!U:U)</f>
        <v>0</v>
      </c>
    </row>
    <row r="28" spans="1:13">
      <c r="A28" s="90" t="s">
        <v>216</v>
      </c>
      <c r="D28" s="182">
        <f>SUMIF(Produção!C:C, A28, Produção!U:U)</f>
        <v>0</v>
      </c>
    </row>
    <row r="29" spans="1:13">
      <c r="A29" s="91" t="s">
        <v>217</v>
      </c>
      <c r="D29" s="182">
        <f>SUMIF(Produção!C:C, A29, Produção!U:U)</f>
        <v>0</v>
      </c>
    </row>
    <row r="30" spans="1:13">
      <c r="A30" s="90" t="s">
        <v>218</v>
      </c>
      <c r="D30" s="182">
        <f>SUMIF(Produção!C:C, A30, Produção!U:U)</f>
        <v>0</v>
      </c>
    </row>
    <row r="31" spans="1:13">
      <c r="A31" s="91" t="s">
        <v>219</v>
      </c>
      <c r="D31" s="182">
        <f>SUMIF(Produção!C:C, A31, Produção!U:U)</f>
        <v>0</v>
      </c>
    </row>
    <row r="32" spans="1:13">
      <c r="A32" s="90" t="s">
        <v>220</v>
      </c>
      <c r="D32" s="182">
        <f>SUMIF(Produção!C:C, A32, Produção!U:U)</f>
        <v>0</v>
      </c>
    </row>
    <row r="33" spans="1:9">
      <c r="A33" s="91" t="s">
        <v>221</v>
      </c>
      <c r="C33" s="1">
        <v>0</v>
      </c>
      <c r="D33" s="182">
        <f>SUMIF(Produção!C:C, A33, Produção!U:U)</f>
        <v>0</v>
      </c>
      <c r="F33" s="68"/>
    </row>
    <row r="34" spans="1:9">
      <c r="A34" s="90" t="s">
        <v>222</v>
      </c>
      <c r="D34" s="182">
        <f>SUMIF(Produção!C:C, A34, Produção!U:U)</f>
        <v>0</v>
      </c>
    </row>
    <row r="35" spans="1:9">
      <c r="A35" s="91" t="s">
        <v>223</v>
      </c>
      <c r="D35" s="182">
        <f>SUMIF(Produção!C:C, A35, Produção!U:U)</f>
        <v>0</v>
      </c>
    </row>
    <row r="36" spans="1:9">
      <c r="A36" s="92" t="s">
        <v>224</v>
      </c>
      <c r="D36" s="182">
        <f>SUMIF(Produção!C:C, A36, Produção!U:U)</f>
        <v>0</v>
      </c>
    </row>
    <row r="37" spans="1:9">
      <c r="A37" s="91" t="s">
        <v>225</v>
      </c>
      <c r="C37" s="85"/>
      <c r="D37" s="182">
        <f>SUMIF(Produção!C:C, A37, Produção!U:U)</f>
        <v>0</v>
      </c>
      <c r="E37" s="84"/>
      <c r="F37" s="85"/>
      <c r="G37" s="85"/>
      <c r="H37" s="85"/>
      <c r="I37" s="83"/>
    </row>
    <row r="38" spans="1:9">
      <c r="A38" s="93" t="s">
        <v>226</v>
      </c>
      <c r="D38" s="182">
        <f>SUMIF(Produção!C:C, A38, Produção!U:U)</f>
        <v>0</v>
      </c>
    </row>
    <row r="39" spans="1:9">
      <c r="A39" s="91" t="s">
        <v>227</v>
      </c>
      <c r="D39" s="182">
        <f>SUMIF(Produção!C:C, A39, Produção!U:U)</f>
        <v>0</v>
      </c>
    </row>
    <row r="40" spans="1:9">
      <c r="A40" s="90" t="s">
        <v>228</v>
      </c>
      <c r="D40" s="182">
        <f>SUMIF(Produção!C:C, A40, Produção!U:U)</f>
        <v>0</v>
      </c>
    </row>
    <row r="41" spans="1:9">
      <c r="A41" s="91" t="s">
        <v>229</v>
      </c>
      <c r="D41" s="182">
        <f>SUMIF(Produção!C:C, A41, Produção!U:U)</f>
        <v>0</v>
      </c>
    </row>
    <row r="42" spans="1:9">
      <c r="A42" s="90" t="s">
        <v>230</v>
      </c>
      <c r="D42" s="182">
        <f>SUMIF(Produção!C:C, A42, Produção!U:U)</f>
        <v>0</v>
      </c>
    </row>
    <row r="43" spans="1:9">
      <c r="A43" s="91" t="s">
        <v>231</v>
      </c>
      <c r="D43" s="182">
        <f>SUMIF(Produção!C:C, A43, Produção!U:U)</f>
        <v>0</v>
      </c>
    </row>
    <row r="44" spans="1:9">
      <c r="A44" s="90" t="s">
        <v>232</v>
      </c>
      <c r="D44" s="182">
        <f>SUMIF(Produção!C:C, A44, Produção!U:U)</f>
        <v>0</v>
      </c>
    </row>
    <row r="45" spans="1:9">
      <c r="A45" s="91" t="s">
        <v>233</v>
      </c>
      <c r="D45" s="182">
        <f>SUMIF(Produção!C:C, A45, Produção!U:U)</f>
        <v>0</v>
      </c>
    </row>
    <row r="46" spans="1:9">
      <c r="A46" s="90" t="s">
        <v>234</v>
      </c>
      <c r="D46" s="182">
        <f>SUMIF(Produção!C:C, A46, Produção!U:U)</f>
        <v>0</v>
      </c>
    </row>
    <row r="47" spans="1:9">
      <c r="A47" s="91" t="s">
        <v>235</v>
      </c>
      <c r="D47" s="182">
        <f>SUMIF(Produção!C:C, A47, Produção!U:U)</f>
        <v>0</v>
      </c>
    </row>
    <row r="48" spans="1:9">
      <c r="A48" s="90" t="s">
        <v>236</v>
      </c>
      <c r="D48" s="182">
        <f>SUMIF(Produção!C:C, A48, Produção!U:U)</f>
        <v>0</v>
      </c>
    </row>
    <row r="49" spans="1:4">
      <c r="A49" s="91" t="s">
        <v>237</v>
      </c>
      <c r="D49" s="182">
        <f>SUMIF(Produção!C:C, A49, Produção!U:U)</f>
        <v>0</v>
      </c>
    </row>
    <row r="50" spans="1:4">
      <c r="A50" s="90" t="s">
        <v>238</v>
      </c>
      <c r="D50" s="182">
        <f>SUMIF(Produção!C:C, A50, Produção!U:U)</f>
        <v>0</v>
      </c>
    </row>
    <row r="51" spans="1:4">
      <c r="A51" s="91" t="s">
        <v>239</v>
      </c>
      <c r="D51" s="182">
        <f>SUMIF(Produção!C:C, A51, Produção!U:U)</f>
        <v>0</v>
      </c>
    </row>
    <row r="52" spans="1:4">
      <c r="A52" s="90" t="s">
        <v>240</v>
      </c>
      <c r="D52" s="182">
        <f>SUMIF(Produção!C:C, A52, Produção!U:U)</f>
        <v>0</v>
      </c>
    </row>
    <row r="53" spans="1:4">
      <c r="A53" s="91" t="s">
        <v>241</v>
      </c>
      <c r="D53" s="182">
        <f>SUMIF(Produção!C:C, A53, Produção!U:U)</f>
        <v>0</v>
      </c>
    </row>
    <row r="54" spans="1:4">
      <c r="A54" s="90" t="s">
        <v>242</v>
      </c>
      <c r="D54" s="182">
        <f>SUMIF(Produção!C:C, A54, Produção!U:U)</f>
        <v>0</v>
      </c>
    </row>
    <row r="55" spans="1:4">
      <c r="A55" s="91" t="s">
        <v>243</v>
      </c>
      <c r="D55" s="182">
        <f>SUMIF(Produção!C:C, A55, Produção!U:U)</f>
        <v>0</v>
      </c>
    </row>
    <row r="56" spans="1:4">
      <c r="A56" s="90" t="s">
        <v>244</v>
      </c>
      <c r="D56" s="182">
        <f>SUMIF(Produção!C:C, A56, Produção!U:U)</f>
        <v>0</v>
      </c>
    </row>
    <row r="57" spans="1:4">
      <c r="A57" s="91" t="s">
        <v>245</v>
      </c>
      <c r="D57" s="182">
        <f>SUMIF(Produção!C:C, A57, Produção!U:U)</f>
        <v>0</v>
      </c>
    </row>
    <row r="58" spans="1:4">
      <c r="A58" s="90" t="s">
        <v>246</v>
      </c>
      <c r="D58" s="182">
        <f>SUMIF(Produção!C:C, A58, Produção!U:U)</f>
        <v>0</v>
      </c>
    </row>
    <row r="59" spans="1:4">
      <c r="A59" s="91" t="s">
        <v>247</v>
      </c>
      <c r="D59" s="182">
        <f>SUMIF(Produção!C:C, A59, Produção!U:U)</f>
        <v>0</v>
      </c>
    </row>
    <row r="60" spans="1:4">
      <c r="A60" s="90" t="s">
        <v>248</v>
      </c>
      <c r="D60" s="182">
        <f>SUMIF(Produção!C:C, A60, Produção!U:U)</f>
        <v>0</v>
      </c>
    </row>
    <row r="61" spans="1:4">
      <c r="A61" s="91" t="s">
        <v>249</v>
      </c>
      <c r="D61" s="182">
        <f>SUMIF(Produção!C:C, A61, Produção!U:U)</f>
        <v>0</v>
      </c>
    </row>
    <row r="62" spans="1:4">
      <c r="A62" s="90" t="s">
        <v>250</v>
      </c>
      <c r="D62" s="182">
        <f>SUMIF(Produção!C:C, A62, Produção!U:U)</f>
        <v>0</v>
      </c>
    </row>
    <row r="63" spans="1:4">
      <c r="A63" s="91" t="s">
        <v>251</v>
      </c>
      <c r="D63" s="182">
        <f>SUMIF(Produção!C:C, A63, Produção!U:U)</f>
        <v>0</v>
      </c>
    </row>
    <row r="64" spans="1:4">
      <c r="A64" s="90" t="s">
        <v>252</v>
      </c>
      <c r="D64" s="182">
        <f>SUMIF(Produção!C:C, A64, Produção!U:U)</f>
        <v>0</v>
      </c>
    </row>
    <row r="65" spans="1:4">
      <c r="A65" s="91" t="s">
        <v>253</v>
      </c>
      <c r="D65" s="182">
        <f>SUMIF(Produção!C:C, A65, Produção!U:U)</f>
        <v>0</v>
      </c>
    </row>
    <row r="66" spans="1:4">
      <c r="A66" s="90" t="s">
        <v>254</v>
      </c>
      <c r="D66" s="182">
        <f>SUMIF(Produção!C:C, A66, Produção!U:U)</f>
        <v>0</v>
      </c>
    </row>
    <row r="67" spans="1:4">
      <c r="A67" s="91" t="s">
        <v>255</v>
      </c>
      <c r="D67" s="182">
        <f>SUMIF(Produção!C:C, A67, Produção!U:U)</f>
        <v>0</v>
      </c>
    </row>
    <row r="68" spans="1:4">
      <c r="A68" s="90" t="s">
        <v>256</v>
      </c>
      <c r="D68" s="182">
        <f>SUMIF(Produção!C:C, A68, Produção!U:U)</f>
        <v>0</v>
      </c>
    </row>
    <row r="69" spans="1:4">
      <c r="A69" s="91" t="s">
        <v>257</v>
      </c>
      <c r="D69" s="182">
        <f>SUMIF(Produção!C:C, A69, Produção!U:U)</f>
        <v>0</v>
      </c>
    </row>
    <row r="70" spans="1:4">
      <c r="A70" s="90" t="s">
        <v>258</v>
      </c>
      <c r="D70" s="182">
        <f>SUMIF(Produção!C:C, A70, Produção!U:U)</f>
        <v>0</v>
      </c>
    </row>
    <row r="71" spans="1:4">
      <c r="A71" s="91" t="s">
        <v>259</v>
      </c>
      <c r="D71" s="182">
        <f>SUMIF(Produção!C:C, A71, Produção!U:U)</f>
        <v>0</v>
      </c>
    </row>
    <row r="72" spans="1:4">
      <c r="A72" s="90" t="s">
        <v>260</v>
      </c>
      <c r="D72" s="182">
        <f>SUMIF(Produção!C:C, A72, Produção!U:U)</f>
        <v>0</v>
      </c>
    </row>
    <row r="73" spans="1:4">
      <c r="A73" s="91" t="s">
        <v>261</v>
      </c>
      <c r="D73" s="182">
        <f>SUMIF(Produção!C:C, A73, Produção!U:U)</f>
        <v>0</v>
      </c>
    </row>
    <row r="74" spans="1:4">
      <c r="A74" s="90" t="s">
        <v>262</v>
      </c>
      <c r="D74" s="182">
        <f>SUMIF(Produção!C:C, A74, Produção!U:U)</f>
        <v>0</v>
      </c>
    </row>
    <row r="75" spans="1:4">
      <c r="A75" s="91" t="s">
        <v>263</v>
      </c>
      <c r="D75" s="182">
        <f>SUMIF(Produção!C:C, A75, Produção!U:U)</f>
        <v>0</v>
      </c>
    </row>
    <row r="76" spans="1:4">
      <c r="A76" s="90" t="s">
        <v>264</v>
      </c>
      <c r="D76" s="182">
        <f>SUMIF(Produção!C:C, A76, Produção!U:U)</f>
        <v>0</v>
      </c>
    </row>
    <row r="77" spans="1:4">
      <c r="A77" s="91" t="s">
        <v>265</v>
      </c>
      <c r="D77" s="182">
        <f>SUMIF(Produção!C:C, A77, Produção!U:U)</f>
        <v>0</v>
      </c>
    </row>
    <row r="78" spans="1:4">
      <c r="A78" s="90" t="s">
        <v>266</v>
      </c>
      <c r="D78" s="182">
        <f>SUMIF(Produção!C:C, A78, Produção!U:U)</f>
        <v>0</v>
      </c>
    </row>
    <row r="79" spans="1:4">
      <c r="A79" s="91" t="s">
        <v>267</v>
      </c>
      <c r="D79" s="182">
        <f>SUMIF(Produção!C:C, A79, Produção!U:U)</f>
        <v>0</v>
      </c>
    </row>
    <row r="80" spans="1:4">
      <c r="A80" s="90" t="s">
        <v>268</v>
      </c>
      <c r="D80" s="182">
        <f>SUMIF(Produção!C:C, A80, Produção!U:U)</f>
        <v>0</v>
      </c>
    </row>
    <row r="81" spans="1:4">
      <c r="A81" s="91" t="s">
        <v>269</v>
      </c>
      <c r="D81" s="182">
        <f>SUMIF(Produção!C:C, A81, Produção!U:U)</f>
        <v>0</v>
      </c>
    </row>
    <row r="82" spans="1:4">
      <c r="A82" s="90" t="s">
        <v>270</v>
      </c>
      <c r="D82" s="182">
        <f>SUMIF(Produção!C:C, A82, Produção!U:U)</f>
        <v>0</v>
      </c>
    </row>
    <row r="83" spans="1:4">
      <c r="A83" s="91" t="s">
        <v>271</v>
      </c>
      <c r="D83" s="182">
        <f>SUMIF(Produção!C:C, A83, Produção!U:U)</f>
        <v>0</v>
      </c>
    </row>
    <row r="84" spans="1:4">
      <c r="A84" s="90" t="s">
        <v>272</v>
      </c>
      <c r="D84" s="182">
        <f>SUMIF(Produção!C:C, A84, Produção!U:U)</f>
        <v>0</v>
      </c>
    </row>
    <row r="85" spans="1:4">
      <c r="A85" s="91" t="s">
        <v>273</v>
      </c>
      <c r="D85" s="182">
        <f>SUMIF(Produção!C:C, A85, Produção!U:U)</f>
        <v>0</v>
      </c>
    </row>
    <row r="86" spans="1:4">
      <c r="A86" s="90" t="s">
        <v>274</v>
      </c>
      <c r="D86" s="182">
        <f>SUMIF(Produção!C:C, A86, Produção!U:U)</f>
        <v>0</v>
      </c>
    </row>
    <row r="87" spans="1:4">
      <c r="A87" s="91" t="s">
        <v>275</v>
      </c>
      <c r="D87" s="182">
        <f>SUMIF(Produção!C:C, A87, Produção!U:U)</f>
        <v>0</v>
      </c>
    </row>
    <row r="88" spans="1:4">
      <c r="A88" s="90" t="s">
        <v>276</v>
      </c>
      <c r="D88" s="182">
        <f>SUMIF(Produção!C:C, A88, Produção!U:U)</f>
        <v>0</v>
      </c>
    </row>
    <row r="89" spans="1:4">
      <c r="A89" s="91" t="s">
        <v>277</v>
      </c>
      <c r="D89" s="182">
        <f>SUMIF(Produção!C:C, A89, Produção!U:U)</f>
        <v>0</v>
      </c>
    </row>
    <row r="90" spans="1:4">
      <c r="A90" s="90" t="s">
        <v>278</v>
      </c>
      <c r="D90" s="182">
        <f>SUMIF(Produção!C:C, A90, Produção!U:U)</f>
        <v>0</v>
      </c>
    </row>
    <row r="91" spans="1:4">
      <c r="A91" s="91" t="s">
        <v>279</v>
      </c>
      <c r="D91" s="182">
        <f>SUMIF(Produção!C:C, A91, Produção!U:U)</f>
        <v>0</v>
      </c>
    </row>
    <row r="92" spans="1:4">
      <c r="A92" s="90" t="s">
        <v>280</v>
      </c>
      <c r="D92" s="182">
        <f>SUMIF(Produção!C:C, A92, Produção!U:U)</f>
        <v>0</v>
      </c>
    </row>
    <row r="93" spans="1:4">
      <c r="A93" s="91" t="s">
        <v>281</v>
      </c>
      <c r="D93" s="182">
        <f>SUMIF(Produção!C:C, A93, Produção!U:U)</f>
        <v>0</v>
      </c>
    </row>
    <row r="94" spans="1:4">
      <c r="A94" s="90" t="s">
        <v>282</v>
      </c>
      <c r="D94" s="182">
        <f>SUMIF(Produção!C:C, A94, Produção!U:U)</f>
        <v>0</v>
      </c>
    </row>
    <row r="95" spans="1:4">
      <c r="A95" s="91" t="s">
        <v>283</v>
      </c>
      <c r="D95" s="182">
        <f>SUMIF(Produção!C:C, A95, Produção!U:U)</f>
        <v>0</v>
      </c>
    </row>
    <row r="96" spans="1:4">
      <c r="A96" s="90" t="s">
        <v>284</v>
      </c>
      <c r="D96" s="182">
        <f>SUMIF(Produção!C:C, A96, Produção!U:U)</f>
        <v>0</v>
      </c>
    </row>
    <row r="97" spans="1:4">
      <c r="A97" s="91" t="s">
        <v>285</v>
      </c>
      <c r="D97" s="182">
        <f>SUMIF(Produção!C:C, A97, Produção!U:U)</f>
        <v>0</v>
      </c>
    </row>
    <row r="98" spans="1:4">
      <c r="A98" s="90" t="s">
        <v>286</v>
      </c>
      <c r="D98" s="182">
        <f>SUMIF(Produção!C:C, A98, Produção!U:U)</f>
        <v>0</v>
      </c>
    </row>
    <row r="99" spans="1:4">
      <c r="A99" s="91" t="s">
        <v>287</v>
      </c>
      <c r="D99" s="182">
        <f>SUMIF(Produção!C:C, A99, Produção!U:U)</f>
        <v>0</v>
      </c>
    </row>
    <row r="100" spans="1:4">
      <c r="A100" s="90" t="s">
        <v>288</v>
      </c>
      <c r="D100" s="182">
        <f>SUMIF(Produção!C:C, A100, Produção!U:U)</f>
        <v>0</v>
      </c>
    </row>
    <row r="101" spans="1:4">
      <c r="A101" s="91" t="s">
        <v>289</v>
      </c>
      <c r="D101" s="182">
        <f>SUMIF(Produção!C:C, A101, Produção!U:U)</f>
        <v>0</v>
      </c>
    </row>
    <row r="102" spans="1:4">
      <c r="A102" s="90" t="s">
        <v>290</v>
      </c>
      <c r="D102" s="182">
        <f>SUMIF(Produção!C:C, A102, Produção!U:U)</f>
        <v>0</v>
      </c>
    </row>
    <row r="103" spans="1:4">
      <c r="A103" s="91" t="s">
        <v>291</v>
      </c>
      <c r="D103" s="182">
        <f>SUMIF(Produção!C:C, A103, Produção!U:U)</f>
        <v>0</v>
      </c>
    </row>
    <row r="104" spans="1:4">
      <c r="A104" s="90" t="s">
        <v>292</v>
      </c>
      <c r="D104" s="182">
        <f>SUMIF(Produção!C:C, A104, Produção!U:U)</f>
        <v>0</v>
      </c>
    </row>
    <row r="105" spans="1:4">
      <c r="A105" s="91" t="s">
        <v>293</v>
      </c>
      <c r="D105" s="182">
        <f>SUMIF(Produção!C:C, A105, Produção!U:U)</f>
        <v>0</v>
      </c>
    </row>
    <row r="106" spans="1:4">
      <c r="A106" s="90" t="s">
        <v>294</v>
      </c>
      <c r="D106" s="182">
        <f>SUMIF(Produção!C:C, A106, Produção!U:U)</f>
        <v>0</v>
      </c>
    </row>
    <row r="107" spans="1:4">
      <c r="A107" s="91" t="s">
        <v>295</v>
      </c>
      <c r="D107" s="182">
        <f>SUMIF(Produção!C:C, A107, Produção!U:U)</f>
        <v>0</v>
      </c>
    </row>
    <row r="108" spans="1:4">
      <c r="A108" s="90" t="s">
        <v>296</v>
      </c>
      <c r="D108" s="182">
        <f>SUMIF(Produção!C:C, A108, Produção!U:U)</f>
        <v>0</v>
      </c>
    </row>
    <row r="109" spans="1:4">
      <c r="A109" s="91" t="s">
        <v>297</v>
      </c>
      <c r="D109" s="182">
        <f>SUMIF(Produção!C:C, A109, Produção!U:U)</f>
        <v>0</v>
      </c>
    </row>
    <row r="110" spans="1:4">
      <c r="A110" s="90" t="s">
        <v>298</v>
      </c>
      <c r="C110" s="1">
        <v>0</v>
      </c>
      <c r="D110" s="182">
        <f>SUMIF(Produção!C:C, A110, Produção!U:U)</f>
        <v>21</v>
      </c>
    </row>
    <row r="111" spans="1:4">
      <c r="A111" s="91" t="s">
        <v>299</v>
      </c>
      <c r="D111" s="182">
        <f>SUMIF(Produção!C:C, A111, Produção!U:U)</f>
        <v>0</v>
      </c>
    </row>
    <row r="112" spans="1:4">
      <c r="A112" s="90" t="s">
        <v>300</v>
      </c>
      <c r="D112" s="182">
        <f>SUMIF(Produção!C:C, A112, Produção!U:U)</f>
        <v>0</v>
      </c>
    </row>
    <row r="113" spans="1:4">
      <c r="A113" s="91" t="s">
        <v>301</v>
      </c>
      <c r="D113" s="182">
        <f>SUMIF(Produção!C:C, A113, Produção!U:U)</f>
        <v>0</v>
      </c>
    </row>
    <row r="114" spans="1:4">
      <c r="A114" s="90" t="s">
        <v>302</v>
      </c>
      <c r="D114" s="182">
        <f>SUMIF(Produção!C:C, A114, Produção!U:U)</f>
        <v>0</v>
      </c>
    </row>
    <row r="115" spans="1:4">
      <c r="A115" s="91" t="s">
        <v>303</v>
      </c>
      <c r="D115" s="182">
        <f>SUMIF(Produção!C:C, A115, Produção!U:U)</f>
        <v>0</v>
      </c>
    </row>
    <row r="116" spans="1:4">
      <c r="A116" s="90" t="s">
        <v>304</v>
      </c>
      <c r="D116" s="182">
        <f>SUMIF(Produção!C:C, A116, Produção!U:U)</f>
        <v>0</v>
      </c>
    </row>
    <row r="117" spans="1:4">
      <c r="A117" s="91" t="s">
        <v>305</v>
      </c>
      <c r="D117" s="182">
        <f>SUMIF(Produção!C:C, A117, Produção!U:U)</f>
        <v>0</v>
      </c>
    </row>
    <row r="118" spans="1:4">
      <c r="A118" s="90" t="s">
        <v>306</v>
      </c>
      <c r="D118" s="182">
        <f>SUMIF(Produção!C:C, A118, Produção!U:U)</f>
        <v>0</v>
      </c>
    </row>
    <row r="119" spans="1:4">
      <c r="A119" s="91" t="s">
        <v>307</v>
      </c>
      <c r="D119" s="182">
        <f>SUMIF(Produção!C:C, A119, Produção!U:U)</f>
        <v>0</v>
      </c>
    </row>
    <row r="120" spans="1:4">
      <c r="A120" s="90" t="s">
        <v>308</v>
      </c>
      <c r="D120" s="182">
        <f>SUMIF(Produção!C:C, A120, Produção!U:U)</f>
        <v>0</v>
      </c>
    </row>
    <row r="121" spans="1:4">
      <c r="A121" s="91" t="s">
        <v>309</v>
      </c>
      <c r="D121" s="182">
        <f>SUMIF(Produção!C:C, A121, Produção!U:U)</f>
        <v>0</v>
      </c>
    </row>
    <row r="122" spans="1:4">
      <c r="A122" s="90" t="s">
        <v>310</v>
      </c>
      <c r="D122" s="182">
        <f>SUMIF(Produção!C:C, A122, Produção!U:U)</f>
        <v>0</v>
      </c>
    </row>
    <row r="123" spans="1:4">
      <c r="A123" s="91" t="s">
        <v>311</v>
      </c>
      <c r="D123" s="182">
        <f>SUMIF(Produção!C:C, A123, Produção!U:U)</f>
        <v>0</v>
      </c>
    </row>
    <row r="124" spans="1:4">
      <c r="A124" s="90" t="s">
        <v>312</v>
      </c>
      <c r="D124" s="182">
        <f>SUMIF(Produção!C:C, A124, Produção!U:U)</f>
        <v>0</v>
      </c>
    </row>
    <row r="125" spans="1:4">
      <c r="A125" s="91" t="s">
        <v>313</v>
      </c>
      <c r="D125" s="182">
        <f>SUMIF(Produção!C:C, A125, Produção!U:U)</f>
        <v>0</v>
      </c>
    </row>
    <row r="126" spans="1:4">
      <c r="A126" s="90" t="s">
        <v>314</v>
      </c>
      <c r="D126" s="182">
        <f>SUMIF(Produção!C:C, A126, Produção!U:U)</f>
        <v>0</v>
      </c>
    </row>
    <row r="127" spans="1:4">
      <c r="A127" s="91" t="s">
        <v>315</v>
      </c>
      <c r="D127" s="182">
        <f>SUMIF(Produção!C:C, A127, Produção!U:U)</f>
        <v>0</v>
      </c>
    </row>
    <row r="128" spans="1:4">
      <c r="A128" s="90" t="s">
        <v>316</v>
      </c>
      <c r="D128" s="182">
        <f>SUMIF(Produção!C:C, A128, Produção!U:U)</f>
        <v>0</v>
      </c>
    </row>
    <row r="129" spans="1:4">
      <c r="A129" s="91" t="s">
        <v>317</v>
      </c>
      <c r="D129" s="182">
        <f>SUMIF(Produção!C:C, A129, Produção!U:U)</f>
        <v>0</v>
      </c>
    </row>
    <row r="130" spans="1:4">
      <c r="A130" s="90" t="s">
        <v>318</v>
      </c>
      <c r="C130" s="1">
        <v>0</v>
      </c>
      <c r="D130" s="182">
        <f>SUMIF(Produção!C:C, A130, Produção!U:U)</f>
        <v>110</v>
      </c>
    </row>
    <row r="131" spans="1:4">
      <c r="A131" s="91" t="s">
        <v>319</v>
      </c>
      <c r="D131" s="182">
        <f>SUMIF(Produção!C:C, A131, Produção!U:U)</f>
        <v>0</v>
      </c>
    </row>
    <row r="132" spans="1:4">
      <c r="A132" s="90" t="s">
        <v>320</v>
      </c>
      <c r="D132" s="182">
        <f>SUMIF(Produção!C:C, A132, Produção!U:U)</f>
        <v>0</v>
      </c>
    </row>
    <row r="133" spans="1:4">
      <c r="A133" s="91" t="s">
        <v>321</v>
      </c>
      <c r="D133" s="182">
        <f>SUMIF(Produção!C:C, A133, Produção!U:U)</f>
        <v>0</v>
      </c>
    </row>
    <row r="134" spans="1:4">
      <c r="A134" s="90" t="s">
        <v>322</v>
      </c>
      <c r="D134" s="182">
        <f>SUMIF(Produção!C:C, A134, Produção!U:U)</f>
        <v>0</v>
      </c>
    </row>
    <row r="135" spans="1:4">
      <c r="A135" s="91" t="s">
        <v>323</v>
      </c>
      <c r="D135" s="182">
        <f>SUMIF(Produção!C:C, A135, Produção!U:U)</f>
        <v>0</v>
      </c>
    </row>
    <row r="136" spans="1:4">
      <c r="A136" s="90" t="s">
        <v>324</v>
      </c>
      <c r="D136" s="182">
        <f>SUMIF(Produção!C:C, A136, Produção!U:U)</f>
        <v>0</v>
      </c>
    </row>
    <row r="137" spans="1:4">
      <c r="A137" s="91" t="s">
        <v>325</v>
      </c>
      <c r="D137" s="182">
        <f>SUMIF(Produção!C:C, A137, Produção!U:U)</f>
        <v>0</v>
      </c>
    </row>
    <row r="138" spans="1:4">
      <c r="A138" s="90" t="s">
        <v>326</v>
      </c>
      <c r="D138" s="182">
        <f>SUMIF(Produção!C:C, A138, Produção!U:U)</f>
        <v>0</v>
      </c>
    </row>
    <row r="139" spans="1:4">
      <c r="A139" s="91" t="s">
        <v>327</v>
      </c>
      <c r="D139" s="182">
        <f>SUMIF(Produção!C:C, A139, Produção!U:U)</f>
        <v>0</v>
      </c>
    </row>
    <row r="140" spans="1:4">
      <c r="A140" s="90" t="s">
        <v>328</v>
      </c>
      <c r="D140" s="182">
        <f>SUMIF(Produção!C:C, A140, Produção!U:U)</f>
        <v>0</v>
      </c>
    </row>
    <row r="141" spans="1:4">
      <c r="A141" s="91" t="s">
        <v>329</v>
      </c>
      <c r="D141" s="182">
        <f>SUMIF(Produção!C:C, A141, Produção!U:U)</f>
        <v>0</v>
      </c>
    </row>
    <row r="142" spans="1:4">
      <c r="A142" s="90" t="s">
        <v>827</v>
      </c>
      <c r="D142" s="182">
        <f>SUMIF(Produção!C:C, A142, Produção!U:U)</f>
        <v>0</v>
      </c>
    </row>
    <row r="143" spans="1:4">
      <c r="A143" s="91" t="s">
        <v>330</v>
      </c>
      <c r="D143" s="182">
        <f>SUMIF(Produção!C:C, A143, Produção!U:U)</f>
        <v>0</v>
      </c>
    </row>
    <row r="144" spans="1:4">
      <c r="A144" s="90" t="s">
        <v>331</v>
      </c>
      <c r="D144" s="182">
        <f>SUMIF(Produção!C:C, A144, Produção!U:U)</f>
        <v>0</v>
      </c>
    </row>
    <row r="145" spans="1:4">
      <c r="A145" s="91" t="s">
        <v>332</v>
      </c>
      <c r="D145" s="182">
        <f>SUMIF(Produção!C:C, A145, Produção!U:U)</f>
        <v>0</v>
      </c>
    </row>
    <row r="146" spans="1:4">
      <c r="A146" s="90" t="s">
        <v>333</v>
      </c>
      <c r="D146" s="182">
        <f>SUMIF(Produção!C:C, A146, Produção!U:U)</f>
        <v>0</v>
      </c>
    </row>
    <row r="147" spans="1:4">
      <c r="A147" s="91" t="s">
        <v>334</v>
      </c>
      <c r="D147" s="182">
        <f>SUMIF(Produção!C:C, A147, Produção!U:U)</f>
        <v>0</v>
      </c>
    </row>
    <row r="148" spans="1:4">
      <c r="A148" s="90" t="s">
        <v>335</v>
      </c>
      <c r="D148" s="182">
        <f>SUMIF(Produção!C:C, A148, Produção!U:U)</f>
        <v>0</v>
      </c>
    </row>
    <row r="149" spans="1:4">
      <c r="A149" s="91" t="s">
        <v>336</v>
      </c>
      <c r="D149" s="182">
        <f>SUMIF(Produção!C:C, A149, Produção!U:U)</f>
        <v>0</v>
      </c>
    </row>
    <row r="150" spans="1:4">
      <c r="A150" s="90" t="s">
        <v>337</v>
      </c>
      <c r="D150" s="182">
        <f>SUMIF(Produção!C:C, A150, Produção!U:U)</f>
        <v>0</v>
      </c>
    </row>
    <row r="151" spans="1:4">
      <c r="A151" s="91" t="s">
        <v>338</v>
      </c>
      <c r="D151" s="182">
        <f>SUMIF(Produção!C:C, A151, Produção!U:U)</f>
        <v>0</v>
      </c>
    </row>
    <row r="152" spans="1:4">
      <c r="A152" s="90" t="s">
        <v>339</v>
      </c>
      <c r="D152" s="182">
        <f>SUMIF(Produção!C:C, A152, Produção!U:U)</f>
        <v>0</v>
      </c>
    </row>
    <row r="153" spans="1:4">
      <c r="A153" s="91" t="s">
        <v>340</v>
      </c>
      <c r="D153" s="182">
        <f>SUMIF(Produção!C:C, A153, Produção!U:U)</f>
        <v>0</v>
      </c>
    </row>
    <row r="154" spans="1:4">
      <c r="A154" s="90" t="s">
        <v>341</v>
      </c>
      <c r="C154" s="1">
        <v>0</v>
      </c>
      <c r="D154" s="182">
        <f>SUMIF(Produção!C:C, A154, Produção!U:U)</f>
        <v>0</v>
      </c>
    </row>
    <row r="155" spans="1:4">
      <c r="A155" s="91" t="s">
        <v>342</v>
      </c>
      <c r="D155" s="182">
        <f>SUMIF(Produção!C:C, A155, Produção!U:U)</f>
        <v>0</v>
      </c>
    </row>
    <row r="156" spans="1:4">
      <c r="A156" s="90" t="s">
        <v>343</v>
      </c>
      <c r="D156" s="182">
        <f>SUMIF(Produção!C:C, A156, Produção!U:U)</f>
        <v>0</v>
      </c>
    </row>
    <row r="157" spans="1:4">
      <c r="A157" s="91" t="s">
        <v>344</v>
      </c>
      <c r="D157" s="182">
        <f>SUMIF(Produção!C:C, A157, Produção!U:U)</f>
        <v>0</v>
      </c>
    </row>
    <row r="158" spans="1:4">
      <c r="A158" s="90" t="s">
        <v>345</v>
      </c>
      <c r="D158" s="182">
        <f>SUMIF(Produção!C:C, A158, Produção!U:U)</f>
        <v>0</v>
      </c>
    </row>
    <row r="159" spans="1:4">
      <c r="A159" s="91" t="s">
        <v>346</v>
      </c>
      <c r="D159" s="182">
        <f>SUMIF(Produção!C:C, A159, Produção!U:U)</f>
        <v>0</v>
      </c>
    </row>
    <row r="160" spans="1:4">
      <c r="A160" s="90" t="s">
        <v>347</v>
      </c>
      <c r="D160" s="182">
        <f>SUMIF(Produção!C:C, A160, Produção!U:U)</f>
        <v>0</v>
      </c>
    </row>
    <row r="161" spans="1:4">
      <c r="A161" s="91" t="s">
        <v>348</v>
      </c>
      <c r="D161" s="182">
        <f>SUMIF(Produção!C:C, A161, Produção!U:U)</f>
        <v>0</v>
      </c>
    </row>
    <row r="162" spans="1:4">
      <c r="A162" s="90" t="s">
        <v>349</v>
      </c>
      <c r="D162" s="182">
        <f>SUMIF(Produção!C:C, A162, Produção!U:U)</f>
        <v>0</v>
      </c>
    </row>
    <row r="163" spans="1:4">
      <c r="A163" s="91" t="s">
        <v>350</v>
      </c>
      <c r="D163" s="182">
        <f>SUMIF(Produção!C:C, A163, Produção!U:U)</f>
        <v>0</v>
      </c>
    </row>
    <row r="164" spans="1:4">
      <c r="A164" s="90" t="s">
        <v>351</v>
      </c>
      <c r="D164" s="182">
        <f>SUMIF(Produção!C:C, A164, Produção!U:U)</f>
        <v>0</v>
      </c>
    </row>
    <row r="165" spans="1:4">
      <c r="A165" s="91" t="s">
        <v>352</v>
      </c>
      <c r="D165" s="182">
        <f>SUMIF(Produção!C:C, A165, Produção!U:U)</f>
        <v>0</v>
      </c>
    </row>
    <row r="166" spans="1:4">
      <c r="A166" s="90" t="s">
        <v>353</v>
      </c>
      <c r="D166" s="182">
        <f>SUMIF(Produção!C:C, A166, Produção!U:U)</f>
        <v>0</v>
      </c>
    </row>
    <row r="167" spans="1:4">
      <c r="A167" s="91" t="s">
        <v>354</v>
      </c>
      <c r="D167" s="182">
        <f>SUMIF(Produção!C:C, A167, Produção!U:U)</f>
        <v>0</v>
      </c>
    </row>
    <row r="168" spans="1:4">
      <c r="A168" s="90" t="s">
        <v>355</v>
      </c>
      <c r="D168" s="182">
        <f>SUMIF(Produção!C:C, A168, Produção!U:U)</f>
        <v>0</v>
      </c>
    </row>
    <row r="169" spans="1:4">
      <c r="A169" s="91" t="s">
        <v>356</v>
      </c>
      <c r="D169" s="182">
        <f>SUMIF(Produção!C:C, A169, Produção!U:U)</f>
        <v>0</v>
      </c>
    </row>
    <row r="170" spans="1:4">
      <c r="A170" s="90" t="s">
        <v>357</v>
      </c>
      <c r="D170" s="182">
        <f>SUMIF(Produção!C:C, A170, Produção!U:U)</f>
        <v>0</v>
      </c>
    </row>
    <row r="171" spans="1:4">
      <c r="A171" s="91" t="s">
        <v>358</v>
      </c>
      <c r="D171" s="182">
        <f>SUMIF(Produção!C:C, A171, Produção!U:U)</f>
        <v>0</v>
      </c>
    </row>
    <row r="172" spans="1:4">
      <c r="A172" s="90" t="s">
        <v>359</v>
      </c>
      <c r="D172" s="182">
        <f>SUMIF(Produção!C:C, A172, Produção!U:U)</f>
        <v>0</v>
      </c>
    </row>
    <row r="173" spans="1:4">
      <c r="A173" s="91" t="s">
        <v>360</v>
      </c>
      <c r="D173" s="182">
        <f>SUMIF(Produção!C:C, A173, Produção!U:U)</f>
        <v>0</v>
      </c>
    </row>
    <row r="174" spans="1:4">
      <c r="A174" s="90" t="s">
        <v>361</v>
      </c>
      <c r="D174" s="182">
        <f>SUMIF(Produção!C:C, A174, Produção!U:U)</f>
        <v>0</v>
      </c>
    </row>
    <row r="175" spans="1:4">
      <c r="A175" s="91" t="s">
        <v>362</v>
      </c>
      <c r="D175" s="182">
        <f>SUMIF(Produção!C:C, A175, Produção!U:U)</f>
        <v>0</v>
      </c>
    </row>
    <row r="176" spans="1:4">
      <c r="A176" s="90" t="s">
        <v>363</v>
      </c>
      <c r="D176" s="182">
        <f>SUMIF(Produção!C:C, A176, Produção!U:U)</f>
        <v>0</v>
      </c>
    </row>
    <row r="177" spans="1:4">
      <c r="A177" s="91" t="s">
        <v>364</v>
      </c>
      <c r="D177" s="182">
        <f>SUMIF(Produção!C:C, A177, Produção!U:U)</f>
        <v>0</v>
      </c>
    </row>
    <row r="178" spans="1:4">
      <c r="A178" s="90" t="s">
        <v>365</v>
      </c>
      <c r="D178" s="182">
        <f>SUMIF(Produção!C:C, A178, Produção!U:U)</f>
        <v>0</v>
      </c>
    </row>
    <row r="179" spans="1:4">
      <c r="A179" s="91" t="s">
        <v>366</v>
      </c>
      <c r="D179" s="182">
        <f>SUMIF(Produção!C:C, A179, Produção!U:U)</f>
        <v>0</v>
      </c>
    </row>
    <row r="180" spans="1:4">
      <c r="A180" s="90" t="s">
        <v>367</v>
      </c>
      <c r="D180" s="182">
        <f>SUMIF(Produção!C:C, A180, Produção!U:U)</f>
        <v>0</v>
      </c>
    </row>
    <row r="181" spans="1:4">
      <c r="A181" s="91" t="s">
        <v>368</v>
      </c>
      <c r="D181" s="182">
        <f>SUMIF(Produção!C:C, A181, Produção!U:U)</f>
        <v>0</v>
      </c>
    </row>
    <row r="182" spans="1:4">
      <c r="A182" s="90" t="s">
        <v>369</v>
      </c>
      <c r="D182" s="182">
        <f>SUMIF(Produção!C:C, A182, Produção!U:U)</f>
        <v>0</v>
      </c>
    </row>
    <row r="183" spans="1:4">
      <c r="A183" s="91" t="s">
        <v>370</v>
      </c>
      <c r="D183" s="182">
        <f>SUMIF(Produção!C:C, A183, Produção!U:U)</f>
        <v>0</v>
      </c>
    </row>
    <row r="184" spans="1:4">
      <c r="A184" s="90" t="s">
        <v>371</v>
      </c>
      <c r="D184" s="182">
        <f>SUMIF(Produção!C:C, A184, Produção!U:U)</f>
        <v>0</v>
      </c>
    </row>
    <row r="185" spans="1:4">
      <c r="A185" s="91" t="s">
        <v>372</v>
      </c>
      <c r="D185" s="182">
        <f>SUMIF(Produção!C:C, A185, Produção!U:U)</f>
        <v>0</v>
      </c>
    </row>
    <row r="186" spans="1:4">
      <c r="A186" s="90" t="s">
        <v>373</v>
      </c>
      <c r="D186" s="182">
        <f>SUMIF(Produção!C:C, A186, Produção!U:U)</f>
        <v>0</v>
      </c>
    </row>
    <row r="187" spans="1:4">
      <c r="A187" s="91" t="s">
        <v>374</v>
      </c>
      <c r="D187" s="182">
        <f>SUMIF(Produção!C:C, A187, Produção!U:U)</f>
        <v>0</v>
      </c>
    </row>
    <row r="188" spans="1:4">
      <c r="A188" s="90" t="s">
        <v>375</v>
      </c>
      <c r="D188" s="182">
        <f>SUMIF(Produção!C:C, A188, Produção!U:U)</f>
        <v>0</v>
      </c>
    </row>
    <row r="189" spans="1:4">
      <c r="A189" s="91" t="s">
        <v>376</v>
      </c>
      <c r="D189" s="182">
        <f>SUMIF(Produção!C:C, A189, Produção!U:U)</f>
        <v>0</v>
      </c>
    </row>
    <row r="190" spans="1:4">
      <c r="A190" s="90" t="s">
        <v>377</v>
      </c>
      <c r="D190" s="182">
        <f>SUMIF(Produção!C:C, A190, Produção!U:U)</f>
        <v>0</v>
      </c>
    </row>
    <row r="191" spans="1:4">
      <c r="A191" s="91" t="s">
        <v>378</v>
      </c>
      <c r="D191" s="182">
        <f>SUMIF(Produção!C:C, A191, Produção!U:U)</f>
        <v>0</v>
      </c>
    </row>
    <row r="192" spans="1:4">
      <c r="A192" s="90" t="s">
        <v>379</v>
      </c>
      <c r="D192" s="182">
        <f>SUMIF(Produção!C:C, A192, Produção!U:U)</f>
        <v>0</v>
      </c>
    </row>
    <row r="193" spans="1:4">
      <c r="A193" s="91" t="s">
        <v>380</v>
      </c>
      <c r="D193" s="182">
        <f>SUMIF(Produção!C:C, A193, Produção!U:U)</f>
        <v>0</v>
      </c>
    </row>
    <row r="194" spans="1:4">
      <c r="A194" s="90" t="s">
        <v>381</v>
      </c>
      <c r="D194" s="182">
        <f>SUMIF(Produção!C:C, A194, Produção!U:U)</f>
        <v>0</v>
      </c>
    </row>
    <row r="195" spans="1:4">
      <c r="A195" s="91" t="s">
        <v>382</v>
      </c>
      <c r="D195" s="182">
        <f>SUMIF(Produção!C:C, A195, Produção!U:U)</f>
        <v>0</v>
      </c>
    </row>
    <row r="196" spans="1:4">
      <c r="A196" s="90" t="s">
        <v>383</v>
      </c>
      <c r="D196" s="182">
        <f>SUMIF(Produção!C:C, A196, Produção!U:U)</f>
        <v>0</v>
      </c>
    </row>
    <row r="197" spans="1:4">
      <c r="A197" s="91" t="s">
        <v>384</v>
      </c>
      <c r="C197" s="1">
        <v>0</v>
      </c>
      <c r="D197" s="182">
        <f>SUMIF(Produção!C:C, A197, Produção!U:U)</f>
        <v>85</v>
      </c>
    </row>
    <row r="198" spans="1:4">
      <c r="A198" s="90" t="s">
        <v>385</v>
      </c>
      <c r="D198" s="182">
        <f>SUMIF(Produção!C:C, A198, Produção!U:U)</f>
        <v>0</v>
      </c>
    </row>
    <row r="199" spans="1:4">
      <c r="A199" s="91" t="s">
        <v>386</v>
      </c>
      <c r="D199" s="182">
        <f>SUMIF(Produção!C:C, A199, Produção!U:U)</f>
        <v>0</v>
      </c>
    </row>
    <row r="200" spans="1:4">
      <c r="A200" s="90" t="s">
        <v>387</v>
      </c>
      <c r="D200" s="182">
        <f>SUMIF(Produção!C:C, A200, Produção!U:U)</f>
        <v>0</v>
      </c>
    </row>
    <row r="201" spans="1:4">
      <c r="A201" s="91" t="s">
        <v>388</v>
      </c>
      <c r="D201" s="182">
        <f>SUMIF(Produção!C:C, A201, Produção!U:U)</f>
        <v>0</v>
      </c>
    </row>
    <row r="202" spans="1:4">
      <c r="A202" s="90" t="s">
        <v>389</v>
      </c>
      <c r="D202" s="182">
        <f>SUMIF(Produção!C:C, A202, Produção!U:U)</f>
        <v>0</v>
      </c>
    </row>
    <row r="203" spans="1:4">
      <c r="A203" s="91" t="s">
        <v>390</v>
      </c>
      <c r="D203" s="182">
        <f>SUMIF(Produção!C:C, A203, Produção!U:U)</f>
        <v>0</v>
      </c>
    </row>
    <row r="204" spans="1:4">
      <c r="A204" s="90" t="s">
        <v>391</v>
      </c>
      <c r="D204" s="182">
        <f>SUMIF(Produção!C:C, A204, Produção!U:U)</f>
        <v>0</v>
      </c>
    </row>
    <row r="205" spans="1:4">
      <c r="A205" s="91" t="s">
        <v>392</v>
      </c>
      <c r="D205" s="182">
        <f>SUMIF(Produção!C:C, A205, Produção!U:U)</f>
        <v>0</v>
      </c>
    </row>
    <row r="206" spans="1:4">
      <c r="A206" s="90" t="s">
        <v>393</v>
      </c>
      <c r="C206" s="1">
        <v>0</v>
      </c>
      <c r="D206" s="182">
        <f>SUMIF(Produção!C:C, A206, Produção!U:U)</f>
        <v>2</v>
      </c>
    </row>
    <row r="207" spans="1:4">
      <c r="A207" s="91" t="s">
        <v>394</v>
      </c>
      <c r="D207" s="182">
        <f>SUMIF(Produção!C:C, A207, Produção!U:U)</f>
        <v>0</v>
      </c>
    </row>
    <row r="208" spans="1:4">
      <c r="A208" s="90" t="s">
        <v>395</v>
      </c>
      <c r="D208" s="182">
        <f>SUMIF(Produção!C:C, A208, Produção!U:U)</f>
        <v>0</v>
      </c>
    </row>
    <row r="209" spans="1:4">
      <c r="A209" s="91" t="s">
        <v>396</v>
      </c>
      <c r="D209" s="182">
        <f>SUMIF(Produção!C:C, A209, Produção!U:U)</f>
        <v>0</v>
      </c>
    </row>
    <row r="210" spans="1:4">
      <c r="A210" s="90" t="s">
        <v>397</v>
      </c>
      <c r="D210" s="182">
        <f>SUMIF(Produção!C:C, A210, Produção!U:U)</f>
        <v>0</v>
      </c>
    </row>
    <row r="211" spans="1:4">
      <c r="A211" s="91" t="s">
        <v>398</v>
      </c>
      <c r="D211" s="182">
        <f>SUMIF(Produção!C:C, A211, Produção!U:U)</f>
        <v>0</v>
      </c>
    </row>
    <row r="212" spans="1:4">
      <c r="A212" s="90" t="s">
        <v>399</v>
      </c>
      <c r="D212" s="182">
        <f>SUMIF(Produção!C:C, A212, Produção!U:U)</f>
        <v>0</v>
      </c>
    </row>
    <row r="213" spans="1:4">
      <c r="A213" s="91" t="s">
        <v>400</v>
      </c>
      <c r="D213" s="182">
        <f>SUMIF(Produção!C:C, A213, Produção!U:U)</f>
        <v>0</v>
      </c>
    </row>
    <row r="214" spans="1:4">
      <c r="A214" s="90" t="s">
        <v>401</v>
      </c>
      <c r="D214" s="182">
        <f>SUMIF(Produção!C:C, A214, Produção!U:U)</f>
        <v>0</v>
      </c>
    </row>
    <row r="215" spans="1:4">
      <c r="A215" s="91" t="s">
        <v>402</v>
      </c>
      <c r="D215" s="182">
        <f>SUMIF(Produção!C:C, A215, Produção!U:U)</f>
        <v>0</v>
      </c>
    </row>
    <row r="216" spans="1:4">
      <c r="A216" s="90" t="s">
        <v>403</v>
      </c>
      <c r="D216" s="182">
        <f>SUMIF(Produção!C:C, A216, Produção!U:U)</f>
        <v>0</v>
      </c>
    </row>
    <row r="217" spans="1:4">
      <c r="A217" s="91" t="s">
        <v>404</v>
      </c>
      <c r="D217" s="182">
        <f>SUMIF(Produção!C:C, A217, Produção!U:U)</f>
        <v>0</v>
      </c>
    </row>
    <row r="218" spans="1:4">
      <c r="A218" s="90" t="s">
        <v>405</v>
      </c>
      <c r="D218" s="182">
        <f>SUMIF(Produção!C:C, A218, Produção!U:U)</f>
        <v>0</v>
      </c>
    </row>
    <row r="219" spans="1:4">
      <c r="A219" s="91" t="s">
        <v>406</v>
      </c>
      <c r="D219" s="182">
        <f>SUMIF(Produção!C:C, A219, Produção!U:U)</f>
        <v>0</v>
      </c>
    </row>
    <row r="220" spans="1:4">
      <c r="A220" s="90" t="s">
        <v>407</v>
      </c>
      <c r="D220" s="182">
        <f>SUMIF(Produção!C:C, A220, Produção!U:U)</f>
        <v>0</v>
      </c>
    </row>
    <row r="221" spans="1:4">
      <c r="A221" s="91" t="s">
        <v>408</v>
      </c>
      <c r="D221" s="182">
        <f>SUMIF(Produção!C:C, A221, Produção!U:U)</f>
        <v>0</v>
      </c>
    </row>
    <row r="222" spans="1:4">
      <c r="A222" s="90" t="s">
        <v>409</v>
      </c>
      <c r="D222" s="182">
        <f>SUMIF(Produção!C:C, A222, Produção!U:U)</f>
        <v>0</v>
      </c>
    </row>
    <row r="223" spans="1:4">
      <c r="A223" s="91" t="s">
        <v>410</v>
      </c>
      <c r="D223" s="182">
        <f>SUMIF(Produção!C:C, A223, Produção!U:U)</f>
        <v>0</v>
      </c>
    </row>
    <row r="224" spans="1:4">
      <c r="A224" s="90" t="s">
        <v>411</v>
      </c>
      <c r="D224" s="182">
        <f>SUMIF(Produção!C:C, A224, Produção!U:U)</f>
        <v>0</v>
      </c>
    </row>
    <row r="225" spans="1:4">
      <c r="A225" s="91" t="s">
        <v>412</v>
      </c>
      <c r="D225" s="182">
        <f>SUMIF(Produção!C:C, A225, Produção!U:U)</f>
        <v>0</v>
      </c>
    </row>
    <row r="226" spans="1:4">
      <c r="A226" s="90" t="s">
        <v>413</v>
      </c>
      <c r="D226" s="182">
        <f>SUMIF(Produção!C:C, A226, Produção!U:U)</f>
        <v>0</v>
      </c>
    </row>
    <row r="227" spans="1:4">
      <c r="A227" s="91" t="s">
        <v>414</v>
      </c>
      <c r="D227" s="182">
        <f>SUMIF(Produção!C:C, A227, Produção!U:U)</f>
        <v>0</v>
      </c>
    </row>
    <row r="228" spans="1:4">
      <c r="A228" s="90" t="s">
        <v>415</v>
      </c>
      <c r="D228" s="182">
        <f>SUMIF(Produção!C:C, A228, Produção!U:U)</f>
        <v>0</v>
      </c>
    </row>
    <row r="229" spans="1:4">
      <c r="A229" s="91" t="s">
        <v>416</v>
      </c>
      <c r="D229" s="182">
        <f>SUMIF(Produção!C:C, A229, Produção!U:U)</f>
        <v>0</v>
      </c>
    </row>
    <row r="230" spans="1:4">
      <c r="A230" s="90" t="s">
        <v>417</v>
      </c>
      <c r="D230" s="182">
        <f>SUMIF(Produção!C:C, A230, Produção!U:U)</f>
        <v>0</v>
      </c>
    </row>
    <row r="231" spans="1:4">
      <c r="A231" s="91" t="s">
        <v>418</v>
      </c>
      <c r="D231" s="182">
        <f>SUMIF(Produção!C:C, A231, Produção!U:U)</f>
        <v>0</v>
      </c>
    </row>
    <row r="232" spans="1:4">
      <c r="A232" s="90" t="s">
        <v>419</v>
      </c>
      <c r="D232" s="182">
        <f>SUMIF(Produção!C:C, A232, Produção!U:U)</f>
        <v>0</v>
      </c>
    </row>
    <row r="233" spans="1:4">
      <c r="A233" s="91" t="s">
        <v>420</v>
      </c>
      <c r="D233" s="182">
        <f>SUMIF(Produção!C:C, A233, Produção!U:U)</f>
        <v>0</v>
      </c>
    </row>
    <row r="234" spans="1:4">
      <c r="A234" s="90" t="s">
        <v>421</v>
      </c>
      <c r="D234" s="182">
        <f>SUMIF(Produção!C:C, A234, Produção!U:U)</f>
        <v>0</v>
      </c>
    </row>
    <row r="235" spans="1:4">
      <c r="A235" s="91" t="s">
        <v>422</v>
      </c>
      <c r="D235" s="182">
        <f>SUMIF(Produção!C:C, A235, Produção!U:U)</f>
        <v>0</v>
      </c>
    </row>
    <row r="236" spans="1:4">
      <c r="A236" s="90" t="s">
        <v>423</v>
      </c>
      <c r="D236" s="182">
        <f>SUMIF(Produção!C:C, A236, Produção!U:U)</f>
        <v>0</v>
      </c>
    </row>
    <row r="237" spans="1:4">
      <c r="A237" s="91" t="s">
        <v>424</v>
      </c>
      <c r="D237" s="182">
        <f>SUMIF(Produção!C:C, A237, Produção!U:U)</f>
        <v>0</v>
      </c>
    </row>
    <row r="238" spans="1:4">
      <c r="A238" s="90" t="s">
        <v>425</v>
      </c>
      <c r="D238" s="182">
        <f>SUMIF(Produção!C:C, A238, Produção!U:U)</f>
        <v>0</v>
      </c>
    </row>
    <row r="239" spans="1:4">
      <c r="A239" s="91" t="s">
        <v>426</v>
      </c>
      <c r="D239" s="182">
        <f>SUMIF(Produção!C:C, A239, Produção!U:U)</f>
        <v>0</v>
      </c>
    </row>
    <row r="240" spans="1:4">
      <c r="A240" s="90" t="s">
        <v>427</v>
      </c>
      <c r="D240" s="182">
        <f>SUMIF(Produção!C:C, A240, Produção!U:U)</f>
        <v>0</v>
      </c>
    </row>
    <row r="241" spans="1:4">
      <c r="A241" s="91" t="s">
        <v>428</v>
      </c>
      <c r="D241" s="182">
        <f>SUMIF(Produção!C:C, A241, Produção!U:U)</f>
        <v>0</v>
      </c>
    </row>
    <row r="242" spans="1:4">
      <c r="A242" s="90" t="s">
        <v>429</v>
      </c>
      <c r="D242" s="182">
        <f>SUMIF(Produção!C:C, A242, Produção!U:U)</f>
        <v>0</v>
      </c>
    </row>
    <row r="243" spans="1:4">
      <c r="A243" s="91" t="s">
        <v>430</v>
      </c>
      <c r="D243" s="182">
        <f>SUMIF(Produção!C:C, A243, Produção!U:U)</f>
        <v>0</v>
      </c>
    </row>
    <row r="244" spans="1:4">
      <c r="A244" s="90" t="s">
        <v>431</v>
      </c>
      <c r="D244" s="182">
        <f>SUMIF(Produção!C:C, A244, Produção!U:U)</f>
        <v>0</v>
      </c>
    </row>
    <row r="245" spans="1:4">
      <c r="A245" s="91" t="s">
        <v>432</v>
      </c>
      <c r="C245" s="1">
        <v>0</v>
      </c>
      <c r="D245" s="182">
        <f>SUMIF(Produção!C:C, A245, Produção!U:U)</f>
        <v>0</v>
      </c>
    </row>
    <row r="246" spans="1:4">
      <c r="A246" s="90" t="s">
        <v>433</v>
      </c>
      <c r="C246" s="1">
        <v>0</v>
      </c>
      <c r="D246" s="182">
        <f>SUMIF(Produção!C:C, A246, Produção!U:U)</f>
        <v>0</v>
      </c>
    </row>
    <row r="247" spans="1:4">
      <c r="A247" s="91" t="s">
        <v>434</v>
      </c>
      <c r="D247" s="182">
        <f>SUMIF(Produção!C:C, A247, Produção!U:U)</f>
        <v>0</v>
      </c>
    </row>
    <row r="248" spans="1:4">
      <c r="A248" s="90" t="s">
        <v>435</v>
      </c>
      <c r="D248" s="182">
        <f>SUMIF(Produção!C:C, A248, Produção!U:U)</f>
        <v>0</v>
      </c>
    </row>
    <row r="249" spans="1:4">
      <c r="A249" s="91" t="s">
        <v>436</v>
      </c>
      <c r="D249" s="182">
        <f>SUMIF(Produção!C:C, A249, Produção!U:U)</f>
        <v>0</v>
      </c>
    </row>
    <row r="250" spans="1:4">
      <c r="A250" s="90" t="s">
        <v>437</v>
      </c>
      <c r="D250" s="182">
        <f>SUMIF(Produção!C:C, A250, Produção!U:U)</f>
        <v>0</v>
      </c>
    </row>
    <row r="251" spans="1:4">
      <c r="A251" s="91" t="s">
        <v>438</v>
      </c>
      <c r="D251" s="182">
        <f>SUMIF(Produção!C:C, A251, Produção!U:U)</f>
        <v>0</v>
      </c>
    </row>
    <row r="252" spans="1:4">
      <c r="A252" s="90" t="s">
        <v>439</v>
      </c>
      <c r="D252" s="182">
        <f>SUMIF(Produção!C:C, A252, Produção!U:U)</f>
        <v>0</v>
      </c>
    </row>
    <row r="253" spans="1:4">
      <c r="A253" s="91" t="s">
        <v>440</v>
      </c>
      <c r="D253" s="182">
        <f>SUMIF(Produção!C:C, A253, Produção!U:U)</f>
        <v>0</v>
      </c>
    </row>
    <row r="254" spans="1:4">
      <c r="A254" s="90" t="s">
        <v>441</v>
      </c>
      <c r="D254" s="182">
        <f>SUMIF(Produção!C:C, A254, Produção!U:U)</f>
        <v>0</v>
      </c>
    </row>
    <row r="255" spans="1:4">
      <c r="A255" s="91" t="s">
        <v>442</v>
      </c>
      <c r="D255" s="182">
        <f>SUMIF(Produção!C:C, A255, Produção!U:U)</f>
        <v>0</v>
      </c>
    </row>
    <row r="256" spans="1:4">
      <c r="A256" s="90" t="s">
        <v>443</v>
      </c>
      <c r="D256" s="182">
        <f>SUMIF(Produção!C:C, A256, Produção!U:U)</f>
        <v>0</v>
      </c>
    </row>
    <row r="257" spans="1:4">
      <c r="A257" s="91" t="s">
        <v>444</v>
      </c>
      <c r="C257" s="1">
        <v>0</v>
      </c>
      <c r="D257" s="182">
        <f>SUMIF(Produção!C:C, A257, Produção!U:U)</f>
        <v>0</v>
      </c>
    </row>
    <row r="258" spans="1:4">
      <c r="A258" s="90" t="s">
        <v>445</v>
      </c>
      <c r="D258" s="182">
        <f>SUMIF(Produção!C:C, A258, Produção!U:U)</f>
        <v>0</v>
      </c>
    </row>
    <row r="259" spans="1:4">
      <c r="A259" s="91" t="s">
        <v>446</v>
      </c>
      <c r="D259" s="182">
        <f>SUMIF(Produção!C:C, A259, Produção!U:U)</f>
        <v>0</v>
      </c>
    </row>
    <row r="260" spans="1:4">
      <c r="A260" s="90" t="s">
        <v>447</v>
      </c>
      <c r="D260" s="182">
        <f>SUMIF(Produção!C:C, A260, Produção!U:U)</f>
        <v>0</v>
      </c>
    </row>
    <row r="261" spans="1:4">
      <c r="A261" s="91" t="s">
        <v>448</v>
      </c>
      <c r="D261" s="182">
        <f>SUMIF(Produção!C:C, A261, Produção!U:U)</f>
        <v>0</v>
      </c>
    </row>
    <row r="262" spans="1:4">
      <c r="A262" s="90" t="s">
        <v>449</v>
      </c>
      <c r="D262" s="182">
        <f>SUMIF(Produção!C:C, A262, Produção!U:U)</f>
        <v>0</v>
      </c>
    </row>
    <row r="263" spans="1:4">
      <c r="A263" s="91" t="s">
        <v>450</v>
      </c>
      <c r="D263" s="182">
        <f>SUMIF(Produção!C:C, A263, Produção!U:U)</f>
        <v>0</v>
      </c>
    </row>
    <row r="264" spans="1:4">
      <c r="A264" s="90" t="s">
        <v>451</v>
      </c>
      <c r="D264" s="182">
        <f>SUMIF(Produção!C:C, A264, Produção!U:U)</f>
        <v>0</v>
      </c>
    </row>
    <row r="265" spans="1:4">
      <c r="A265" s="91" t="s">
        <v>452</v>
      </c>
      <c r="D265" s="182">
        <f>SUMIF(Produção!C:C, A265, Produção!U:U)</f>
        <v>0</v>
      </c>
    </row>
    <row r="266" spans="1:4">
      <c r="A266" s="90" t="s">
        <v>453</v>
      </c>
      <c r="D266" s="182">
        <f>SUMIF(Produção!C:C, A266, Produção!U:U)</f>
        <v>0</v>
      </c>
    </row>
    <row r="267" spans="1:4">
      <c r="A267" s="91" t="s">
        <v>454</v>
      </c>
      <c r="D267" s="182">
        <f>SUMIF(Produção!C:C, A267, Produção!U:U)</f>
        <v>0</v>
      </c>
    </row>
    <row r="268" spans="1:4">
      <c r="A268" s="90" t="s">
        <v>455</v>
      </c>
      <c r="D268" s="182">
        <f>SUMIF(Produção!C:C, A268, Produção!U:U)</f>
        <v>0</v>
      </c>
    </row>
    <row r="269" spans="1:4">
      <c r="A269" s="91" t="s">
        <v>456</v>
      </c>
      <c r="D269" s="182">
        <f>SUMIF(Produção!C:C, A269, Produção!U:U)</f>
        <v>0</v>
      </c>
    </row>
    <row r="270" spans="1:4">
      <c r="A270" s="90" t="s">
        <v>457</v>
      </c>
      <c r="D270" s="182">
        <f>SUMIF(Produção!C:C, A270, Produção!U:U)</f>
        <v>0</v>
      </c>
    </row>
    <row r="271" spans="1:4">
      <c r="A271" s="91" t="s">
        <v>458</v>
      </c>
      <c r="D271" s="182">
        <f>SUMIF(Produção!C:C, A271, Produção!U:U)</f>
        <v>0</v>
      </c>
    </row>
    <row r="272" spans="1:4">
      <c r="A272" s="90" t="s">
        <v>459</v>
      </c>
      <c r="D272" s="182">
        <f>SUMIF(Produção!C:C, A272, Produção!U:U)</f>
        <v>0</v>
      </c>
    </row>
    <row r="273" spans="1:4">
      <c r="A273" s="91" t="s">
        <v>460</v>
      </c>
      <c r="D273" s="182">
        <f>SUMIF(Produção!C:C, A273, Produção!U:U)</f>
        <v>0</v>
      </c>
    </row>
    <row r="274" spans="1:4">
      <c r="A274" s="90" t="s">
        <v>461</v>
      </c>
      <c r="D274" s="182">
        <f>SUMIF(Produção!C:C, A274, Produção!U:U)</f>
        <v>0</v>
      </c>
    </row>
    <row r="275" spans="1:4">
      <c r="A275" s="91" t="s">
        <v>462</v>
      </c>
      <c r="D275" s="182">
        <f>SUMIF(Produção!C:C, A275, Produção!U:U)</f>
        <v>0</v>
      </c>
    </row>
    <row r="276" spans="1:4">
      <c r="A276" s="90" t="s">
        <v>463</v>
      </c>
      <c r="D276" s="182">
        <f>SUMIF(Produção!C:C, A276, Produção!U:U)</f>
        <v>0</v>
      </c>
    </row>
    <row r="277" spans="1:4">
      <c r="A277" s="91" t="s">
        <v>464</v>
      </c>
      <c r="D277" s="182">
        <f>SUMIF(Produção!C:C, A277, Produção!U:U)</f>
        <v>0</v>
      </c>
    </row>
    <row r="278" spans="1:4">
      <c r="A278" s="90" t="s">
        <v>465</v>
      </c>
      <c r="D278" s="182">
        <f>SUMIF(Produção!C:C, A278, Produção!U:U)</f>
        <v>0</v>
      </c>
    </row>
    <row r="279" spans="1:4">
      <c r="A279" s="91" t="s">
        <v>466</v>
      </c>
      <c r="D279" s="182">
        <f>SUMIF(Produção!C:C, A279, Produção!U:U)</f>
        <v>0</v>
      </c>
    </row>
    <row r="280" spans="1:4">
      <c r="A280" s="90" t="s">
        <v>467</v>
      </c>
      <c r="D280" s="182">
        <f>SUMIF(Produção!C:C, A280, Produção!U:U)</f>
        <v>0</v>
      </c>
    </row>
    <row r="281" spans="1:4">
      <c r="A281" s="91" t="s">
        <v>468</v>
      </c>
      <c r="D281" s="182">
        <f>SUMIF(Produção!C:C, A281, Produção!U:U)</f>
        <v>0</v>
      </c>
    </row>
    <row r="282" spans="1:4">
      <c r="A282" s="90" t="s">
        <v>469</v>
      </c>
      <c r="D282" s="182">
        <f>SUMIF(Produção!C:C, A282, Produção!U:U)</f>
        <v>0</v>
      </c>
    </row>
    <row r="283" spans="1:4">
      <c r="A283" s="91" t="s">
        <v>470</v>
      </c>
      <c r="D283" s="182">
        <f>SUMIF(Produção!C:C, A283, Produção!U:U)</f>
        <v>0</v>
      </c>
    </row>
    <row r="284" spans="1:4">
      <c r="A284" s="90" t="s">
        <v>471</v>
      </c>
      <c r="C284" s="1">
        <v>0</v>
      </c>
      <c r="D284" s="182">
        <f>SUMIF(Produção!C:C, A284, Produção!U:U)</f>
        <v>0</v>
      </c>
    </row>
    <row r="285" spans="1:4">
      <c r="A285" s="91" t="s">
        <v>472</v>
      </c>
      <c r="D285" s="182">
        <f>SUMIF(Produção!C:C, A285, Produção!U:U)</f>
        <v>0</v>
      </c>
    </row>
    <row r="286" spans="1:4">
      <c r="A286" s="90" t="s">
        <v>473</v>
      </c>
      <c r="D286" s="182">
        <f>SUMIF(Produção!C:C, A286, Produção!U:U)</f>
        <v>0</v>
      </c>
    </row>
    <row r="287" spans="1:4">
      <c r="A287" s="91" t="s">
        <v>474</v>
      </c>
      <c r="D287" s="182">
        <f>SUMIF(Produção!C:C, A287, Produção!U:U)</f>
        <v>0</v>
      </c>
    </row>
    <row r="288" spans="1:4">
      <c r="A288" s="90" t="s">
        <v>475</v>
      </c>
      <c r="D288" s="182">
        <f>SUMIF(Produção!C:C, A288, Produção!U:U)</f>
        <v>0</v>
      </c>
    </row>
    <row r="289" spans="1:4">
      <c r="A289" s="91" t="s">
        <v>476</v>
      </c>
      <c r="D289" s="182">
        <f>SUMIF(Produção!C:C, A289, Produção!U:U)</f>
        <v>0</v>
      </c>
    </row>
    <row r="290" spans="1:4">
      <c r="A290" s="90" t="s">
        <v>477</v>
      </c>
      <c r="D290" s="182">
        <f>SUMIF(Produção!C:C, A290, Produção!U:U)</f>
        <v>0</v>
      </c>
    </row>
    <row r="291" spans="1:4">
      <c r="A291" s="91" t="s">
        <v>478</v>
      </c>
      <c r="D291" s="182">
        <f>SUMIF(Produção!C:C, A291, Produção!U:U)</f>
        <v>0</v>
      </c>
    </row>
    <row r="292" spans="1:4">
      <c r="A292" s="90" t="s">
        <v>479</v>
      </c>
      <c r="D292" s="182">
        <f>SUMIF(Produção!C:C, A292, Produção!U:U)</f>
        <v>0</v>
      </c>
    </row>
    <row r="293" spans="1:4">
      <c r="A293" s="91" t="s">
        <v>480</v>
      </c>
      <c r="D293" s="182">
        <f>SUMIF(Produção!C:C, A293, Produção!U:U)</f>
        <v>0</v>
      </c>
    </row>
    <row r="294" spans="1:4">
      <c r="A294" s="90" t="s">
        <v>481</v>
      </c>
      <c r="D294" s="182">
        <f>SUMIF(Produção!C:C, A294, Produção!U:U)</f>
        <v>0</v>
      </c>
    </row>
    <row r="295" spans="1:4">
      <c r="A295" s="91" t="s">
        <v>482</v>
      </c>
      <c r="D295" s="182">
        <f>SUMIF(Produção!C:C, A295, Produção!U:U)</f>
        <v>0</v>
      </c>
    </row>
    <row r="296" spans="1:4">
      <c r="A296" s="90" t="s">
        <v>483</v>
      </c>
      <c r="D296" s="182">
        <f>SUMIF(Produção!C:C, A296, Produção!U:U)</f>
        <v>0</v>
      </c>
    </row>
    <row r="297" spans="1:4">
      <c r="A297" s="91" t="s">
        <v>484</v>
      </c>
      <c r="D297" s="182">
        <f>SUMIF(Produção!C:C, A297, Produção!U:U)</f>
        <v>0</v>
      </c>
    </row>
    <row r="298" spans="1:4">
      <c r="A298" s="90" t="s">
        <v>485</v>
      </c>
      <c r="D298" s="182">
        <f>SUMIF(Produção!C:C, A298, Produção!U:U)</f>
        <v>0</v>
      </c>
    </row>
    <row r="299" spans="1:4">
      <c r="A299" s="91" t="s">
        <v>486</v>
      </c>
      <c r="D299" s="182">
        <f>SUMIF(Produção!C:C, A299, Produção!U:U)</f>
        <v>0</v>
      </c>
    </row>
    <row r="300" spans="1:4">
      <c r="A300" s="90" t="s">
        <v>487</v>
      </c>
      <c r="D300" s="182">
        <f>SUMIF(Produção!C:C, A300, Produção!U:U)</f>
        <v>0</v>
      </c>
    </row>
    <row r="301" spans="1:4">
      <c r="A301" s="91" t="s">
        <v>488</v>
      </c>
      <c r="D301" s="182">
        <f>SUMIF(Produção!C:C, A301, Produção!U:U)</f>
        <v>0</v>
      </c>
    </row>
    <row r="302" spans="1:4">
      <c r="A302" s="90" t="s">
        <v>489</v>
      </c>
      <c r="D302" s="182">
        <f>SUMIF(Produção!C:C, A302, Produção!U:U)</f>
        <v>0</v>
      </c>
    </row>
    <row r="303" spans="1:4">
      <c r="A303" s="91" t="s">
        <v>490</v>
      </c>
      <c r="D303" s="182">
        <f>SUMIF(Produção!C:C, A303, Produção!U:U)</f>
        <v>0</v>
      </c>
    </row>
    <row r="304" spans="1:4">
      <c r="A304" s="90" t="s">
        <v>491</v>
      </c>
      <c r="D304" s="182">
        <f>SUMIF(Produção!C:C, A304, Produção!U:U)</f>
        <v>0</v>
      </c>
    </row>
    <row r="305" spans="1:4">
      <c r="A305" s="91" t="s">
        <v>492</v>
      </c>
      <c r="D305" s="182">
        <f>SUMIF(Produção!C:C, A305, Produção!U:U)</f>
        <v>0</v>
      </c>
    </row>
    <row r="306" spans="1:4">
      <c r="A306" s="90" t="s">
        <v>493</v>
      </c>
      <c r="D306" s="182">
        <f>SUMIF(Produção!C:C, A306, Produção!U:U)</f>
        <v>0</v>
      </c>
    </row>
    <row r="307" spans="1:4">
      <c r="A307" s="91" t="s">
        <v>494</v>
      </c>
      <c r="D307" s="182">
        <f>SUMIF(Produção!C:C, A307, Produção!U:U)</f>
        <v>0</v>
      </c>
    </row>
    <row r="308" spans="1:4">
      <c r="A308" s="90" t="s">
        <v>495</v>
      </c>
      <c r="D308" s="182">
        <f>SUMIF(Produção!C:C, A308, Produção!U:U)</f>
        <v>0</v>
      </c>
    </row>
    <row r="309" spans="1:4">
      <c r="A309" s="91" t="s">
        <v>496</v>
      </c>
      <c r="D309" s="182">
        <f>SUMIF(Produção!C:C, A309, Produção!U:U)</f>
        <v>0</v>
      </c>
    </row>
    <row r="310" spans="1:4">
      <c r="A310" s="90" t="s">
        <v>497</v>
      </c>
      <c r="D310" s="182">
        <f>SUMIF(Produção!C:C, A310, Produção!U:U)</f>
        <v>0</v>
      </c>
    </row>
    <row r="311" spans="1:4">
      <c r="A311" s="91" t="s">
        <v>498</v>
      </c>
      <c r="D311" s="182">
        <f>SUMIF(Produção!C:C, A311, Produção!U:U)</f>
        <v>0</v>
      </c>
    </row>
    <row r="312" spans="1:4">
      <c r="A312" s="90" t="s">
        <v>499</v>
      </c>
      <c r="D312" s="182">
        <f>SUMIF(Produção!C:C, A312, Produção!U:U)</f>
        <v>0</v>
      </c>
    </row>
    <row r="313" spans="1:4">
      <c r="A313" s="91" t="s">
        <v>500</v>
      </c>
      <c r="D313" s="182">
        <f>SUMIF(Produção!C:C, A313, Produção!U:U)</f>
        <v>0</v>
      </c>
    </row>
    <row r="314" spans="1:4">
      <c r="A314" s="90" t="s">
        <v>501</v>
      </c>
      <c r="D314" s="182">
        <f>SUMIF(Produção!C:C, A314, Produção!U:U)</f>
        <v>0</v>
      </c>
    </row>
    <row r="315" spans="1:4">
      <c r="A315" s="91" t="s">
        <v>502</v>
      </c>
      <c r="D315" s="182">
        <f>SUMIF(Produção!C:C, A315, Produção!U:U)</f>
        <v>0</v>
      </c>
    </row>
    <row r="316" spans="1:4">
      <c r="A316" s="90" t="s">
        <v>503</v>
      </c>
      <c r="D316" s="182">
        <f>SUMIF(Produção!C:C, A316, Produção!U:U)</f>
        <v>0</v>
      </c>
    </row>
    <row r="317" spans="1:4">
      <c r="A317" s="91" t="s">
        <v>504</v>
      </c>
      <c r="D317" s="182">
        <f>SUMIF(Produção!C:C, A317, Produção!U:U)</f>
        <v>0</v>
      </c>
    </row>
    <row r="318" spans="1:4">
      <c r="A318" s="90" t="s">
        <v>505</v>
      </c>
      <c r="D318" s="182">
        <f>SUMIF(Produção!C:C, A318, Produção!U:U)</f>
        <v>0</v>
      </c>
    </row>
    <row r="319" spans="1:4">
      <c r="A319" s="91" t="s">
        <v>506</v>
      </c>
      <c r="D319" s="182">
        <f>SUMIF(Produção!C:C, A319, Produção!U:U)</f>
        <v>0</v>
      </c>
    </row>
    <row r="320" spans="1:4">
      <c r="A320" s="90" t="s">
        <v>507</v>
      </c>
      <c r="D320" s="182">
        <f>SUMIF(Produção!C:C, A320, Produção!U:U)</f>
        <v>0</v>
      </c>
    </row>
    <row r="321" spans="1:4">
      <c r="A321" s="91" t="s">
        <v>508</v>
      </c>
      <c r="D321" s="182">
        <f>SUMIF(Produção!C:C, A321, Produção!U:U)</f>
        <v>0</v>
      </c>
    </row>
    <row r="322" spans="1:4">
      <c r="A322" s="90" t="s">
        <v>509</v>
      </c>
      <c r="D322" s="182">
        <f>SUMIF(Produção!C:C, A322, Produção!U:U)</f>
        <v>0</v>
      </c>
    </row>
    <row r="323" spans="1:4">
      <c r="A323" s="91" t="s">
        <v>510</v>
      </c>
      <c r="D323" s="182">
        <f>SUMIF(Produção!C:C, A323, Produção!U:U)</f>
        <v>0</v>
      </c>
    </row>
    <row r="324" spans="1:4">
      <c r="A324" s="90" t="s">
        <v>511</v>
      </c>
      <c r="D324" s="182">
        <f>SUMIF(Produção!C:C, A324, Produção!U:U)</f>
        <v>0</v>
      </c>
    </row>
    <row r="325" spans="1:4">
      <c r="A325" s="91" t="s">
        <v>512</v>
      </c>
      <c r="D325" s="182">
        <f>SUMIF(Produção!C:C, A325, Produção!U:U)</f>
        <v>0</v>
      </c>
    </row>
    <row r="326" spans="1:4">
      <c r="A326" s="90" t="s">
        <v>513</v>
      </c>
      <c r="D326" s="182">
        <f>SUMIF(Produção!C:C, A326, Produção!U:U)</f>
        <v>0</v>
      </c>
    </row>
    <row r="327" spans="1:4">
      <c r="A327" s="91" t="s">
        <v>514</v>
      </c>
      <c r="D327" s="182">
        <f>SUMIF(Produção!C:C, A327, Produção!U:U)</f>
        <v>0</v>
      </c>
    </row>
    <row r="328" spans="1:4">
      <c r="A328" s="90" t="s">
        <v>515</v>
      </c>
      <c r="D328" s="182">
        <f>SUMIF(Produção!C:C, A328, Produção!U:U)</f>
        <v>0</v>
      </c>
    </row>
    <row r="329" spans="1:4">
      <c r="A329" s="91" t="s">
        <v>516</v>
      </c>
      <c r="D329" s="182">
        <f>SUMIF(Produção!C:C, A329, Produção!U:U)</f>
        <v>0</v>
      </c>
    </row>
    <row r="330" spans="1:4">
      <c r="A330" s="90" t="s">
        <v>517</v>
      </c>
      <c r="D330" s="182">
        <f>SUMIF(Produção!C:C, A330, Produção!U:U)</f>
        <v>0</v>
      </c>
    </row>
    <row r="331" spans="1:4">
      <c r="A331" s="91" t="s">
        <v>518</v>
      </c>
      <c r="D331" s="182">
        <f>SUMIF(Produção!C:C, A331, Produção!U:U)</f>
        <v>0</v>
      </c>
    </row>
    <row r="332" spans="1:4">
      <c r="A332" s="90" t="s">
        <v>519</v>
      </c>
      <c r="D332" s="182">
        <f>SUMIF(Produção!C:C, A332, Produção!U:U)</f>
        <v>0</v>
      </c>
    </row>
    <row r="333" spans="1:4">
      <c r="A333" s="91" t="s">
        <v>519</v>
      </c>
      <c r="D333" s="182">
        <f>SUMIF(Produção!C:C, A333, Produção!U:U)</f>
        <v>0</v>
      </c>
    </row>
    <row r="334" spans="1:4">
      <c r="A334" s="90" t="s">
        <v>520</v>
      </c>
      <c r="D334" s="182">
        <f>SUMIF(Produção!C:C, A334, Produção!U:U)</f>
        <v>0</v>
      </c>
    </row>
    <row r="335" spans="1:4">
      <c r="A335" s="91" t="s">
        <v>521</v>
      </c>
      <c r="D335" s="182">
        <f>SUMIF(Produção!C:C, A335, Produção!U:U)</f>
        <v>0</v>
      </c>
    </row>
    <row r="336" spans="1:4">
      <c r="A336" s="90" t="s">
        <v>522</v>
      </c>
      <c r="D336" s="182">
        <f>SUMIF(Produção!C:C, A336, Produção!U:U)</f>
        <v>0</v>
      </c>
    </row>
    <row r="337" spans="1:4">
      <c r="A337" s="91" t="s">
        <v>523</v>
      </c>
      <c r="D337" s="182">
        <f>SUMIF(Produção!C:C, A337, Produção!U:U)</f>
        <v>0</v>
      </c>
    </row>
    <row r="338" spans="1:4">
      <c r="A338" s="90" t="s">
        <v>524</v>
      </c>
      <c r="C338" s="1">
        <v>0</v>
      </c>
      <c r="D338" s="182">
        <f>SUMIF(Produção!C:C, A338, Produção!U:U)</f>
        <v>0</v>
      </c>
    </row>
    <row r="339" spans="1:4">
      <c r="A339" s="91" t="s">
        <v>525</v>
      </c>
      <c r="D339" s="182">
        <f>SUMIF(Produção!C:C, A339, Produção!U:U)</f>
        <v>0</v>
      </c>
    </row>
    <row r="340" spans="1:4">
      <c r="A340" s="90" t="s">
        <v>526</v>
      </c>
      <c r="D340" s="182">
        <f>SUMIF(Produção!C:C, A340, Produção!U:U)</f>
        <v>0</v>
      </c>
    </row>
    <row r="341" spans="1:4">
      <c r="A341" s="91" t="s">
        <v>527</v>
      </c>
      <c r="D341" s="182">
        <f>SUMIF(Produção!C:C, A341, Produção!U:U)</f>
        <v>0</v>
      </c>
    </row>
    <row r="342" spans="1:4">
      <c r="A342" s="90" t="s">
        <v>528</v>
      </c>
      <c r="D342" s="182">
        <f>SUMIF(Produção!C:C, A342, Produção!U:U)</f>
        <v>0</v>
      </c>
    </row>
    <row r="343" spans="1:4">
      <c r="A343" s="91" t="s">
        <v>529</v>
      </c>
      <c r="D343" s="182">
        <f>SUMIF(Produção!C:C, A343, Produção!U:U)</f>
        <v>0</v>
      </c>
    </row>
    <row r="344" spans="1:4">
      <c r="A344" s="90" t="s">
        <v>530</v>
      </c>
      <c r="D344" s="182">
        <f>SUMIF(Produção!C:C, A344, Produção!U:U)</f>
        <v>0</v>
      </c>
    </row>
    <row r="345" spans="1:4">
      <c r="A345" s="91" t="s">
        <v>531</v>
      </c>
      <c r="D345" s="182">
        <f>SUMIF(Produção!C:C, A345, Produção!U:U)</f>
        <v>0</v>
      </c>
    </row>
    <row r="346" spans="1:4">
      <c r="A346" s="90" t="s">
        <v>532</v>
      </c>
      <c r="D346" s="182">
        <f>SUMIF(Produção!C:C, A346, Produção!U:U)</f>
        <v>0</v>
      </c>
    </row>
    <row r="347" spans="1:4">
      <c r="A347" s="91" t="s">
        <v>533</v>
      </c>
      <c r="D347" s="182">
        <f>SUMIF(Produção!C:C, A347, Produção!U:U)</f>
        <v>0</v>
      </c>
    </row>
    <row r="348" spans="1:4">
      <c r="A348" s="90" t="s">
        <v>534</v>
      </c>
      <c r="D348" s="182">
        <f>SUMIF(Produção!C:C, A348, Produção!U:U)</f>
        <v>0</v>
      </c>
    </row>
    <row r="349" spans="1:4">
      <c r="A349" s="91" t="s">
        <v>535</v>
      </c>
      <c r="D349" s="182">
        <f>SUMIF(Produção!C:C, A349, Produção!U:U)</f>
        <v>0</v>
      </c>
    </row>
    <row r="350" spans="1:4">
      <c r="A350" s="90" t="s">
        <v>536</v>
      </c>
      <c r="C350" s="1">
        <v>0</v>
      </c>
      <c r="D350" s="182">
        <f>SUMIF(Produção!C:C, A350, Produção!U:U)</f>
        <v>0</v>
      </c>
    </row>
    <row r="351" spans="1:4">
      <c r="A351" s="91" t="s">
        <v>537</v>
      </c>
      <c r="D351" s="182">
        <f>SUMIF(Produção!C:C, A351, Produção!U:U)</f>
        <v>0</v>
      </c>
    </row>
    <row r="352" spans="1:4">
      <c r="A352" s="90" t="s">
        <v>538</v>
      </c>
      <c r="C352" s="1">
        <v>0</v>
      </c>
      <c r="D352" s="182">
        <f>SUMIF(Produção!C:C, A352, Produção!U:U)</f>
        <v>0</v>
      </c>
    </row>
    <row r="353" spans="1:4">
      <c r="A353" s="91" t="s">
        <v>539</v>
      </c>
      <c r="D353" s="182">
        <f>SUMIF(Produção!C:C, A353, Produção!U:U)</f>
        <v>0</v>
      </c>
    </row>
    <row r="354" spans="1:4">
      <c r="A354" s="90" t="s">
        <v>540</v>
      </c>
      <c r="D354" s="182">
        <f>SUMIF(Produção!C:C, A354, Produção!U:U)</f>
        <v>0</v>
      </c>
    </row>
    <row r="355" spans="1:4">
      <c r="A355" s="91" t="s">
        <v>541</v>
      </c>
      <c r="D355" s="182">
        <f>SUMIF(Produção!C:C, A355, Produção!U:U)</f>
        <v>0</v>
      </c>
    </row>
    <row r="356" spans="1:4">
      <c r="A356" s="90" t="s">
        <v>542</v>
      </c>
      <c r="D356" s="182">
        <f>SUMIF(Produção!C:C, A356, Produção!U:U)</f>
        <v>0</v>
      </c>
    </row>
    <row r="357" spans="1:4">
      <c r="A357" s="91" t="s">
        <v>543</v>
      </c>
      <c r="D357" s="182">
        <f>SUMIF(Produção!C:C, A357, Produção!U:U)</f>
        <v>0</v>
      </c>
    </row>
    <row r="358" spans="1:4">
      <c r="A358" s="90" t="s">
        <v>544</v>
      </c>
      <c r="D358" s="182">
        <f>SUMIF(Produção!C:C, A358, Produção!U:U)</f>
        <v>0</v>
      </c>
    </row>
    <row r="359" spans="1:4">
      <c r="A359" s="91" t="s">
        <v>545</v>
      </c>
      <c r="D359" s="182">
        <f>SUMIF(Produção!C:C, A359, Produção!U:U)</f>
        <v>0</v>
      </c>
    </row>
    <row r="360" spans="1:4">
      <c r="A360" s="90" t="s">
        <v>546</v>
      </c>
      <c r="D360" s="182">
        <f>SUMIF(Produção!C:C, A360, Produção!U:U)</f>
        <v>0</v>
      </c>
    </row>
    <row r="361" spans="1:4">
      <c r="A361" s="91" t="s">
        <v>547</v>
      </c>
      <c r="D361" s="182">
        <f>SUMIF(Produção!C:C, A361, Produção!U:U)</f>
        <v>0</v>
      </c>
    </row>
    <row r="362" spans="1:4">
      <c r="A362" s="90" t="s">
        <v>548</v>
      </c>
      <c r="D362" s="182">
        <f>SUMIF(Produção!C:C, A362, Produção!U:U)</f>
        <v>0</v>
      </c>
    </row>
    <row r="363" spans="1:4">
      <c r="A363" s="91" t="s">
        <v>549</v>
      </c>
      <c r="D363" s="182">
        <f>SUMIF(Produção!C:C, A363, Produção!U:U)</f>
        <v>0</v>
      </c>
    </row>
    <row r="364" spans="1:4">
      <c r="A364" s="90" t="s">
        <v>550</v>
      </c>
      <c r="D364" s="182">
        <f>SUMIF(Produção!C:C, A364, Produção!U:U)</f>
        <v>0</v>
      </c>
    </row>
    <row r="365" spans="1:4">
      <c r="A365" s="91" t="s">
        <v>551</v>
      </c>
      <c r="D365" s="182">
        <f>SUMIF(Produção!C:C, A365, Produção!U:U)</f>
        <v>0</v>
      </c>
    </row>
    <row r="366" spans="1:4">
      <c r="A366" s="90" t="s">
        <v>552</v>
      </c>
      <c r="D366" s="182">
        <f>SUMIF(Produção!C:C, A366, Produção!U:U)</f>
        <v>0</v>
      </c>
    </row>
    <row r="367" spans="1:4">
      <c r="A367" s="91" t="s">
        <v>553</v>
      </c>
      <c r="D367" s="182">
        <f>SUMIF(Produção!C:C, A367, Produção!U:U)</f>
        <v>0</v>
      </c>
    </row>
    <row r="368" spans="1:4">
      <c r="A368" s="90" t="s">
        <v>554</v>
      </c>
      <c r="D368" s="182">
        <f>SUMIF(Produção!C:C, A368, Produção!U:U)</f>
        <v>0</v>
      </c>
    </row>
    <row r="369" spans="1:4">
      <c r="A369" s="91" t="s">
        <v>555</v>
      </c>
      <c r="D369" s="182">
        <f>SUMIF(Produção!C:C, A369, Produção!U:U)</f>
        <v>0</v>
      </c>
    </row>
    <row r="370" spans="1:4">
      <c r="A370" s="90" t="s">
        <v>556</v>
      </c>
      <c r="D370" s="182">
        <f>SUMIF(Produção!C:C, A370, Produção!U:U)</f>
        <v>0</v>
      </c>
    </row>
    <row r="371" spans="1:4">
      <c r="A371" s="91" t="s">
        <v>557</v>
      </c>
      <c r="D371" s="182">
        <f>SUMIF(Produção!C:C, A371, Produção!U:U)</f>
        <v>0</v>
      </c>
    </row>
    <row r="372" spans="1:4">
      <c r="A372" s="90" t="s">
        <v>558</v>
      </c>
      <c r="D372" s="182">
        <f>SUMIF(Produção!C:C, A372, Produção!U:U)</f>
        <v>0</v>
      </c>
    </row>
    <row r="373" spans="1:4">
      <c r="A373" s="91" t="s">
        <v>559</v>
      </c>
      <c r="D373" s="182">
        <f>SUMIF(Produção!C:C, A373, Produção!U:U)</f>
        <v>0</v>
      </c>
    </row>
    <row r="374" spans="1:4">
      <c r="A374" s="90" t="s">
        <v>560</v>
      </c>
      <c r="D374" s="182">
        <f>SUMIF(Produção!C:C, A374, Produção!U:U)</f>
        <v>0</v>
      </c>
    </row>
    <row r="375" spans="1:4">
      <c r="A375" s="91" t="s">
        <v>561</v>
      </c>
      <c r="D375" s="182">
        <f>SUMIF(Produção!C:C, A375, Produção!U:U)</f>
        <v>0</v>
      </c>
    </row>
    <row r="376" spans="1:4">
      <c r="A376" s="90" t="s">
        <v>562</v>
      </c>
      <c r="D376" s="182">
        <f>SUMIF(Produção!C:C, A376, Produção!U:U)</f>
        <v>0</v>
      </c>
    </row>
    <row r="377" spans="1:4">
      <c r="A377" s="91" t="s">
        <v>563</v>
      </c>
      <c r="D377" s="182">
        <f>SUMIF(Produção!C:C, A377, Produção!U:U)</f>
        <v>0</v>
      </c>
    </row>
    <row r="378" spans="1:4">
      <c r="A378" s="90" t="s">
        <v>564</v>
      </c>
      <c r="D378" s="182">
        <f>SUMIF(Produção!C:C, A378, Produção!U:U)</f>
        <v>0</v>
      </c>
    </row>
    <row r="379" spans="1:4">
      <c r="A379" s="91" t="s">
        <v>565</v>
      </c>
      <c r="D379" s="182">
        <f>SUMIF(Produção!C:C, A379, Produção!U:U)</f>
        <v>0</v>
      </c>
    </row>
    <row r="380" spans="1:4">
      <c r="A380" s="90" t="s">
        <v>566</v>
      </c>
      <c r="D380" s="182">
        <f>SUMIF(Produção!C:C, A380, Produção!U:U)</f>
        <v>0</v>
      </c>
    </row>
    <row r="381" spans="1:4">
      <c r="A381" s="91" t="s">
        <v>567</v>
      </c>
      <c r="D381" s="182">
        <f>SUMIF(Produção!C:C, A381, Produção!U:U)</f>
        <v>0</v>
      </c>
    </row>
    <row r="382" spans="1:4">
      <c r="A382" s="90" t="s">
        <v>568</v>
      </c>
      <c r="D382" s="182">
        <f>SUMIF(Produção!C:C, A382, Produção!U:U)</f>
        <v>0</v>
      </c>
    </row>
    <row r="383" spans="1:4">
      <c r="A383" s="91" t="s">
        <v>569</v>
      </c>
      <c r="D383" s="182">
        <f>SUMIF(Produção!C:C, A383, Produção!U:U)</f>
        <v>0</v>
      </c>
    </row>
    <row r="384" spans="1:4">
      <c r="A384" s="90" t="s">
        <v>570</v>
      </c>
      <c r="D384" s="182">
        <f>SUMIF(Produção!C:C, A384, Produção!U:U)</f>
        <v>0</v>
      </c>
    </row>
    <row r="385" spans="1:4">
      <c r="A385" s="91" t="s">
        <v>571</v>
      </c>
      <c r="D385" s="182">
        <f>SUMIF(Produção!C:C, A385, Produção!U:U)</f>
        <v>0</v>
      </c>
    </row>
    <row r="386" spans="1:4">
      <c r="A386" s="90" t="s">
        <v>572</v>
      </c>
      <c r="D386" s="182">
        <f>SUMIF(Produção!C:C, A386, Produção!U:U)</f>
        <v>0</v>
      </c>
    </row>
    <row r="387" spans="1:4">
      <c r="A387" s="91" t="s">
        <v>573</v>
      </c>
      <c r="D387" s="182">
        <f>SUMIF(Produção!C:C, A387, Produção!U:U)</f>
        <v>0</v>
      </c>
    </row>
    <row r="388" spans="1:4">
      <c r="A388" s="90" t="s">
        <v>573</v>
      </c>
      <c r="D388" s="182">
        <f>SUMIF(Produção!C:C, A388, Produção!U:U)</f>
        <v>0</v>
      </c>
    </row>
    <row r="389" spans="1:4">
      <c r="A389" s="91" t="s">
        <v>574</v>
      </c>
      <c r="D389" s="182">
        <f>SUMIF(Produção!C:C, A389, Produção!U:U)</f>
        <v>0</v>
      </c>
    </row>
    <row r="390" spans="1:4">
      <c r="A390" s="90" t="s">
        <v>575</v>
      </c>
      <c r="D390" s="182">
        <f>SUMIF(Produção!C:C, A390, Produção!U:U)</f>
        <v>0</v>
      </c>
    </row>
    <row r="391" spans="1:4">
      <c r="A391" s="91" t="s">
        <v>576</v>
      </c>
      <c r="D391" s="182">
        <f>SUMIF(Produção!C:C, A391, Produção!U:U)</f>
        <v>0</v>
      </c>
    </row>
    <row r="392" spans="1:4">
      <c r="A392" s="90" t="s">
        <v>577</v>
      </c>
      <c r="D392" s="182">
        <f>SUMIF(Produção!C:C, A392, Produção!U:U)</f>
        <v>0</v>
      </c>
    </row>
    <row r="393" spans="1:4">
      <c r="A393" s="91" t="s">
        <v>578</v>
      </c>
      <c r="D393" s="182">
        <f>SUMIF(Produção!C:C, A393, Produção!U:U)</f>
        <v>0</v>
      </c>
    </row>
    <row r="394" spans="1:4">
      <c r="A394" s="90" t="s">
        <v>579</v>
      </c>
      <c r="D394" s="182">
        <f>SUMIF(Produção!C:C, A394, Produção!U:U)</f>
        <v>0</v>
      </c>
    </row>
    <row r="395" spans="1:4">
      <c r="A395" s="91" t="s">
        <v>580</v>
      </c>
      <c r="D395" s="182">
        <f>SUMIF(Produção!C:C, A395, Produção!U:U)</f>
        <v>0</v>
      </c>
    </row>
    <row r="396" spans="1:4">
      <c r="A396" s="90" t="s">
        <v>581</v>
      </c>
      <c r="D396" s="182">
        <f>SUMIF(Produção!C:C, A396, Produção!U:U)</f>
        <v>0</v>
      </c>
    </row>
    <row r="397" spans="1:4">
      <c r="A397" s="91" t="s">
        <v>582</v>
      </c>
      <c r="D397" s="182">
        <f>SUMIF(Produção!C:C, A397, Produção!U:U)</f>
        <v>0</v>
      </c>
    </row>
    <row r="398" spans="1:4">
      <c r="A398" s="90" t="s">
        <v>583</v>
      </c>
      <c r="D398" s="182">
        <f>SUMIF(Produção!C:C, A398, Produção!U:U)</f>
        <v>0</v>
      </c>
    </row>
    <row r="399" spans="1:4">
      <c r="A399" s="91" t="s">
        <v>584</v>
      </c>
      <c r="D399" s="182">
        <f>SUMIF(Produção!C:C, A399, Produção!U:U)</f>
        <v>0</v>
      </c>
    </row>
    <row r="400" spans="1:4">
      <c r="A400" s="90" t="s">
        <v>585</v>
      </c>
      <c r="D400" s="182">
        <f>SUMIF(Produção!C:C, A400, Produção!U:U)</f>
        <v>0</v>
      </c>
    </row>
    <row r="401" spans="1:4">
      <c r="A401" s="91" t="s">
        <v>586</v>
      </c>
      <c r="D401" s="182">
        <f>SUMIF(Produção!C:C, A401, Produção!U:U)</f>
        <v>0</v>
      </c>
    </row>
    <row r="402" spans="1:4">
      <c r="A402" s="90" t="s">
        <v>587</v>
      </c>
      <c r="D402" s="182">
        <f>SUMIF(Produção!C:C, A402, Produção!U:U)</f>
        <v>0</v>
      </c>
    </row>
    <row r="403" spans="1:4">
      <c r="A403" s="91" t="s">
        <v>588</v>
      </c>
      <c r="D403" s="182">
        <f>SUMIF(Produção!C:C, A403, Produção!U:U)</f>
        <v>0</v>
      </c>
    </row>
    <row r="404" spans="1:4">
      <c r="A404" s="90" t="s">
        <v>589</v>
      </c>
      <c r="D404" s="182">
        <f>SUMIF(Produção!C:C, A404, Produção!U:U)</f>
        <v>0</v>
      </c>
    </row>
    <row r="405" spans="1:4">
      <c r="A405" s="91" t="s">
        <v>590</v>
      </c>
      <c r="D405" s="182">
        <f>SUMIF(Produção!C:C, A405, Produção!U:U)</f>
        <v>0</v>
      </c>
    </row>
    <row r="406" spans="1:4">
      <c r="A406" s="90" t="s">
        <v>591</v>
      </c>
      <c r="D406" s="182">
        <f>SUMIF(Produção!C:C, A406, Produção!U:U)</f>
        <v>0</v>
      </c>
    </row>
    <row r="407" spans="1:4">
      <c r="A407" s="91" t="s">
        <v>592</v>
      </c>
      <c r="D407" s="182">
        <f>SUMIF(Produção!C:C, A407, Produção!U:U)</f>
        <v>0</v>
      </c>
    </row>
    <row r="408" spans="1:4">
      <c r="A408" s="90" t="s">
        <v>593</v>
      </c>
      <c r="D408" s="182">
        <f>SUMIF(Produção!C:C, A408, Produção!U:U)</f>
        <v>0</v>
      </c>
    </row>
    <row r="409" spans="1:4">
      <c r="A409" s="91" t="s">
        <v>594</v>
      </c>
      <c r="D409" s="182">
        <f>SUMIF(Produção!C:C, A409, Produção!U:U)</f>
        <v>0</v>
      </c>
    </row>
    <row r="410" spans="1:4">
      <c r="A410" s="90" t="s">
        <v>595</v>
      </c>
      <c r="D410" s="182">
        <f>SUMIF(Produção!C:C, A410, Produção!U:U)</f>
        <v>0</v>
      </c>
    </row>
    <row r="411" spans="1:4">
      <c r="A411" s="91" t="s">
        <v>596</v>
      </c>
      <c r="D411" s="182">
        <f>SUMIF(Produção!C:C, A411, Produção!U:U)</f>
        <v>0</v>
      </c>
    </row>
    <row r="412" spans="1:4">
      <c r="A412" s="90" t="s">
        <v>597</v>
      </c>
      <c r="D412" s="182">
        <f>SUMIF(Produção!C:C, A412, Produção!U:U)</f>
        <v>0</v>
      </c>
    </row>
    <row r="413" spans="1:4">
      <c r="A413" s="91" t="s">
        <v>598</v>
      </c>
      <c r="D413" s="182">
        <f>SUMIF(Produção!C:C, A413, Produção!U:U)</f>
        <v>0</v>
      </c>
    </row>
    <row r="414" spans="1:4">
      <c r="A414" s="90" t="s">
        <v>599</v>
      </c>
      <c r="D414" s="182">
        <f>SUMIF(Produção!C:C, A414, Produção!U:U)</f>
        <v>0</v>
      </c>
    </row>
    <row r="415" spans="1:4">
      <c r="A415" s="91" t="s">
        <v>600</v>
      </c>
      <c r="D415" s="182">
        <f>SUMIF(Produção!C:C, A415, Produção!U:U)</f>
        <v>0</v>
      </c>
    </row>
    <row r="416" spans="1:4">
      <c r="A416" s="90" t="s">
        <v>601</v>
      </c>
      <c r="D416" s="182">
        <f>SUMIF(Produção!C:C, A416, Produção!U:U)</f>
        <v>0</v>
      </c>
    </row>
    <row r="417" spans="1:4">
      <c r="A417" s="91" t="s">
        <v>602</v>
      </c>
      <c r="D417" s="182">
        <f>SUMIF(Produção!C:C, A417, Produção!U:U)</f>
        <v>0</v>
      </c>
    </row>
    <row r="418" spans="1:4">
      <c r="A418" s="90" t="s">
        <v>603</v>
      </c>
      <c r="D418" s="182">
        <f>SUMIF(Produção!C:C, A418, Produção!U:U)</f>
        <v>0</v>
      </c>
    </row>
    <row r="419" spans="1:4">
      <c r="A419" s="91" t="s">
        <v>604</v>
      </c>
      <c r="D419" s="182">
        <f>SUMIF(Produção!C:C, A419, Produção!U:U)</f>
        <v>0</v>
      </c>
    </row>
    <row r="420" spans="1:4">
      <c r="A420" s="90" t="s">
        <v>605</v>
      </c>
      <c r="D420" s="182">
        <f>SUMIF(Produção!C:C, A420, Produção!U:U)</f>
        <v>0</v>
      </c>
    </row>
    <row r="421" spans="1:4">
      <c r="A421" s="91" t="s">
        <v>606</v>
      </c>
      <c r="D421" s="182">
        <f>SUMIF(Produção!C:C, A421, Produção!U:U)</f>
        <v>0</v>
      </c>
    </row>
    <row r="422" spans="1:4">
      <c r="A422" s="90" t="s">
        <v>607</v>
      </c>
      <c r="D422" s="182">
        <f>SUMIF(Produção!C:C, A422, Produção!U:U)</f>
        <v>0</v>
      </c>
    </row>
    <row r="423" spans="1:4">
      <c r="A423" s="91" t="s">
        <v>608</v>
      </c>
      <c r="D423" s="182">
        <f>SUMIF(Produção!C:C, A423, Produção!U:U)</f>
        <v>0</v>
      </c>
    </row>
    <row r="424" spans="1:4">
      <c r="A424" s="90" t="s">
        <v>609</v>
      </c>
      <c r="D424" s="182">
        <f>SUMIF(Produção!C:C, A424, Produção!U:U)</f>
        <v>0</v>
      </c>
    </row>
    <row r="425" spans="1:4">
      <c r="A425" s="91" t="s">
        <v>610</v>
      </c>
      <c r="D425" s="182">
        <f>SUMIF(Produção!C:C, A425, Produção!U:U)</f>
        <v>0</v>
      </c>
    </row>
    <row r="426" spans="1:4">
      <c r="A426" s="90" t="s">
        <v>611</v>
      </c>
      <c r="D426" s="182">
        <f>SUMIF(Produção!C:C, A426, Produção!U:U)</f>
        <v>0</v>
      </c>
    </row>
    <row r="427" spans="1:4">
      <c r="A427" s="91" t="s">
        <v>612</v>
      </c>
      <c r="D427" s="182">
        <f>SUMIF(Produção!C:C, A427, Produção!U:U)</f>
        <v>0</v>
      </c>
    </row>
    <row r="428" spans="1:4">
      <c r="A428" s="90" t="s">
        <v>613</v>
      </c>
      <c r="D428" s="182">
        <f>SUMIF(Produção!C:C, A428, Produção!U:U)</f>
        <v>0</v>
      </c>
    </row>
    <row r="429" spans="1:4">
      <c r="A429" s="91" t="s">
        <v>614</v>
      </c>
      <c r="D429" s="182">
        <f>SUMIF(Produção!C:C, A429, Produção!U:U)</f>
        <v>0</v>
      </c>
    </row>
    <row r="430" spans="1:4">
      <c r="A430" s="90" t="s">
        <v>615</v>
      </c>
      <c r="D430" s="182">
        <f>SUMIF(Produção!C:C, A430, Produção!U:U)</f>
        <v>0</v>
      </c>
    </row>
    <row r="431" spans="1:4">
      <c r="A431" s="91" t="s">
        <v>616</v>
      </c>
      <c r="D431" s="182">
        <f>SUMIF(Produção!C:C, A431, Produção!U:U)</f>
        <v>0</v>
      </c>
    </row>
    <row r="432" spans="1:4">
      <c r="A432" s="90" t="s">
        <v>617</v>
      </c>
      <c r="D432" s="182">
        <f>SUMIF(Produção!C:C, A432, Produção!U:U)</f>
        <v>0</v>
      </c>
    </row>
    <row r="433" spans="1:4">
      <c r="A433" s="91" t="s">
        <v>618</v>
      </c>
      <c r="D433" s="182">
        <f>SUMIF(Produção!C:C, A433, Produção!U:U)</f>
        <v>0</v>
      </c>
    </row>
    <row r="434" spans="1:4">
      <c r="A434" s="90" t="s">
        <v>619</v>
      </c>
      <c r="D434" s="182">
        <f>SUMIF(Produção!C:C, A434, Produção!U:U)</f>
        <v>0</v>
      </c>
    </row>
    <row r="435" spans="1:4">
      <c r="A435" s="91" t="s">
        <v>620</v>
      </c>
      <c r="D435" s="182">
        <f>SUMIF(Produção!C:C, A435, Produção!U:U)</f>
        <v>0</v>
      </c>
    </row>
    <row r="436" spans="1:4">
      <c r="A436" s="90" t="s">
        <v>621</v>
      </c>
      <c r="D436" s="182">
        <f>SUMIF(Produção!C:C, A436, Produção!U:U)</f>
        <v>0</v>
      </c>
    </row>
    <row r="437" spans="1:4">
      <c r="A437" s="91" t="s">
        <v>622</v>
      </c>
      <c r="D437" s="182">
        <f>SUMIF(Produção!C:C, A437, Produção!U:U)</f>
        <v>0</v>
      </c>
    </row>
    <row r="438" spans="1:4">
      <c r="A438" s="90" t="s">
        <v>623</v>
      </c>
      <c r="D438" s="182">
        <f>SUMIF(Produção!C:C, A438, Produção!U:U)</f>
        <v>0</v>
      </c>
    </row>
    <row r="439" spans="1:4">
      <c r="A439" s="91" t="s">
        <v>624</v>
      </c>
      <c r="D439" s="182">
        <f>SUMIF(Produção!C:C, A439, Produção!U:U)</f>
        <v>0</v>
      </c>
    </row>
    <row r="440" spans="1:4">
      <c r="A440" s="90" t="s">
        <v>625</v>
      </c>
      <c r="D440" s="182">
        <f>SUMIF(Produção!C:C, A440, Produção!U:U)</f>
        <v>0</v>
      </c>
    </row>
    <row r="441" spans="1:4">
      <c r="A441" s="91" t="s">
        <v>626</v>
      </c>
      <c r="D441" s="182">
        <f>SUMIF(Produção!C:C, A441, Produção!U:U)</f>
        <v>0</v>
      </c>
    </row>
    <row r="442" spans="1:4">
      <c r="A442" s="90" t="s">
        <v>627</v>
      </c>
      <c r="D442" s="182">
        <f>SUMIF(Produção!C:C, A442, Produção!U:U)</f>
        <v>0</v>
      </c>
    </row>
    <row r="443" spans="1:4">
      <c r="A443" s="91" t="s">
        <v>628</v>
      </c>
      <c r="D443" s="182">
        <f>SUMIF(Produção!C:C, A443, Produção!U:U)</f>
        <v>0</v>
      </c>
    </row>
    <row r="444" spans="1:4">
      <c r="A444" s="90" t="s">
        <v>629</v>
      </c>
      <c r="D444" s="182">
        <f>SUMIF(Produção!C:C, A444, Produção!U:U)</f>
        <v>0</v>
      </c>
    </row>
    <row r="445" spans="1:4">
      <c r="A445" s="91" t="s">
        <v>630</v>
      </c>
      <c r="D445" s="182">
        <f>SUMIF(Produção!C:C, A445, Produção!U:U)</f>
        <v>0</v>
      </c>
    </row>
    <row r="446" spans="1:4">
      <c r="A446" s="90" t="s">
        <v>631</v>
      </c>
      <c r="D446" s="182">
        <f>SUMIF(Produção!C:C, A446, Produção!U:U)</f>
        <v>0</v>
      </c>
    </row>
    <row r="447" spans="1:4">
      <c r="A447" s="91" t="s">
        <v>632</v>
      </c>
      <c r="D447" s="182">
        <f>SUMIF(Produção!C:C, A447, Produção!U:U)</f>
        <v>0</v>
      </c>
    </row>
    <row r="448" spans="1:4">
      <c r="A448" s="90" t="s">
        <v>633</v>
      </c>
      <c r="D448" s="182">
        <f>SUMIF(Produção!C:C, A448, Produção!U:U)</f>
        <v>0</v>
      </c>
    </row>
    <row r="449" spans="1:4">
      <c r="A449" s="91" t="s">
        <v>634</v>
      </c>
      <c r="D449" s="182">
        <f>SUMIF(Produção!C:C, A449, Produção!U:U)</f>
        <v>0</v>
      </c>
    </row>
    <row r="450" spans="1:4">
      <c r="A450" s="90" t="s">
        <v>635</v>
      </c>
      <c r="D450" s="182">
        <f>SUMIF(Produção!C:C, A450, Produção!U:U)</f>
        <v>0</v>
      </c>
    </row>
    <row r="451" spans="1:4">
      <c r="A451" s="91" t="s">
        <v>636</v>
      </c>
      <c r="D451" s="182">
        <f>SUMIF(Produção!C:C, A451, Produção!U:U)</f>
        <v>0</v>
      </c>
    </row>
    <row r="452" spans="1:4">
      <c r="A452" s="90" t="s">
        <v>637</v>
      </c>
      <c r="D452" s="182">
        <f>SUMIF(Produção!C:C, A452, Produção!U:U)</f>
        <v>0</v>
      </c>
    </row>
    <row r="453" spans="1:4">
      <c r="A453" s="91" t="s">
        <v>638</v>
      </c>
      <c r="D453" s="182">
        <f>SUMIF(Produção!C:C, A453, Produção!U:U)</f>
        <v>0</v>
      </c>
    </row>
    <row r="454" spans="1:4">
      <c r="A454" s="90" t="s">
        <v>639</v>
      </c>
      <c r="D454" s="182">
        <f>SUMIF(Produção!C:C, A454, Produção!U:U)</f>
        <v>0</v>
      </c>
    </row>
    <row r="455" spans="1:4">
      <c r="A455" s="91" t="s">
        <v>640</v>
      </c>
      <c r="D455" s="182">
        <f>SUMIF(Produção!C:C, A455, Produção!U:U)</f>
        <v>0</v>
      </c>
    </row>
    <row r="456" spans="1:4">
      <c r="A456" s="90" t="s">
        <v>641</v>
      </c>
      <c r="D456" s="182">
        <f>SUMIF(Produção!C:C, A456, Produção!U:U)</f>
        <v>0</v>
      </c>
    </row>
    <row r="457" spans="1:4">
      <c r="A457" s="91" t="s">
        <v>642</v>
      </c>
      <c r="D457" s="182">
        <f>SUMIF(Produção!C:C, A457, Produção!U:U)</f>
        <v>0</v>
      </c>
    </row>
    <row r="458" spans="1:4">
      <c r="A458" s="90" t="s">
        <v>643</v>
      </c>
      <c r="D458" s="182">
        <f>SUMIF(Produção!C:C, A458, Produção!U:U)</f>
        <v>0</v>
      </c>
    </row>
    <row r="459" spans="1:4">
      <c r="A459" s="91" t="s">
        <v>644</v>
      </c>
      <c r="D459" s="182">
        <f>SUMIF(Produção!C:C, A459, Produção!U:U)</f>
        <v>0</v>
      </c>
    </row>
    <row r="460" spans="1:4">
      <c r="A460" s="90" t="s">
        <v>645</v>
      </c>
      <c r="D460" s="182">
        <f>SUMIF(Produção!C:C, A460, Produção!U:U)</f>
        <v>0</v>
      </c>
    </row>
    <row r="461" spans="1:4">
      <c r="A461" s="91" t="s">
        <v>646</v>
      </c>
      <c r="D461" s="182">
        <f>SUMIF(Produção!C:C, A461, Produção!U:U)</f>
        <v>0</v>
      </c>
    </row>
    <row r="462" spans="1:4">
      <c r="A462" s="90" t="s">
        <v>647</v>
      </c>
      <c r="D462" s="182">
        <f>SUMIF(Produção!C:C, A462, Produção!U:U)</f>
        <v>0</v>
      </c>
    </row>
    <row r="463" spans="1:4">
      <c r="A463" s="91" t="s">
        <v>648</v>
      </c>
      <c r="C463" s="1">
        <v>0</v>
      </c>
      <c r="D463" s="182">
        <f>SUMIF(Produção!C:C, A463, Produção!U:U)</f>
        <v>0</v>
      </c>
    </row>
    <row r="464" spans="1:4">
      <c r="A464" s="90" t="s">
        <v>649</v>
      </c>
      <c r="D464" s="182">
        <f>SUMIF(Produção!C:C, A464, Produção!U:U)</f>
        <v>0</v>
      </c>
    </row>
    <row r="465" spans="1:4">
      <c r="A465" s="91" t="s">
        <v>650</v>
      </c>
      <c r="D465" s="182">
        <f>SUMIF(Produção!C:C, A465, Produção!U:U)</f>
        <v>0</v>
      </c>
    </row>
    <row r="466" spans="1:4">
      <c r="A466" s="90" t="s">
        <v>651</v>
      </c>
      <c r="D466" s="182">
        <f>SUMIF(Produção!C:C, A466, Produção!U:U)</f>
        <v>0</v>
      </c>
    </row>
    <row r="467" spans="1:4">
      <c r="A467" s="91" t="s">
        <v>652</v>
      </c>
      <c r="D467" s="182">
        <f>SUMIF(Produção!C:C, A467, Produção!U:U)</f>
        <v>0</v>
      </c>
    </row>
    <row r="468" spans="1:4">
      <c r="A468" s="90" t="s">
        <v>653</v>
      </c>
      <c r="D468" s="182">
        <f>SUMIF(Produção!C:C, A468, Produção!U:U)</f>
        <v>0</v>
      </c>
    </row>
    <row r="469" spans="1:4">
      <c r="A469" s="91" t="s">
        <v>654</v>
      </c>
      <c r="D469" s="182">
        <f>SUMIF(Produção!C:C, A469, Produção!U:U)</f>
        <v>0</v>
      </c>
    </row>
    <row r="470" spans="1:4">
      <c r="A470" s="90" t="s">
        <v>655</v>
      </c>
      <c r="D470" s="182">
        <f>SUMIF(Produção!C:C, A470, Produção!U:U)</f>
        <v>0</v>
      </c>
    </row>
    <row r="471" spans="1:4">
      <c r="A471" s="91" t="s">
        <v>656</v>
      </c>
      <c r="D471" s="182">
        <f>SUMIF(Produção!C:C, A471, Produção!U:U)</f>
        <v>0</v>
      </c>
    </row>
    <row r="472" spans="1:4">
      <c r="A472" s="90" t="s">
        <v>657</v>
      </c>
      <c r="D472" s="182">
        <f>SUMIF(Produção!C:C, A472, Produção!U:U)</f>
        <v>0</v>
      </c>
    </row>
    <row r="473" spans="1:4">
      <c r="A473" s="91" t="s">
        <v>658</v>
      </c>
      <c r="D473" s="182">
        <f>SUMIF(Produção!C:C, A473, Produção!U:U)</f>
        <v>0</v>
      </c>
    </row>
    <row r="474" spans="1:4">
      <c r="A474" s="90" t="s">
        <v>659</v>
      </c>
      <c r="D474" s="182">
        <f>SUMIF(Produção!C:C, A474, Produção!U:U)</f>
        <v>0</v>
      </c>
    </row>
    <row r="475" spans="1:4">
      <c r="A475" s="91" t="s">
        <v>660</v>
      </c>
      <c r="D475" s="182">
        <f>SUMIF(Produção!C:C, A475, Produção!U:U)</f>
        <v>0</v>
      </c>
    </row>
    <row r="476" spans="1:4">
      <c r="A476" s="90" t="s">
        <v>661</v>
      </c>
      <c r="D476" s="182">
        <f>SUMIF(Produção!C:C, A476, Produção!U:U)</f>
        <v>0</v>
      </c>
    </row>
    <row r="477" spans="1:4">
      <c r="A477" s="91" t="s">
        <v>662</v>
      </c>
      <c r="D477" s="182">
        <f>SUMIF(Produção!C:C, A477, Produção!U:U)</f>
        <v>0</v>
      </c>
    </row>
    <row r="478" spans="1:4">
      <c r="A478" s="90" t="s">
        <v>663</v>
      </c>
      <c r="D478" s="182">
        <f>SUMIF(Produção!C:C, A478, Produção!U:U)</f>
        <v>0</v>
      </c>
    </row>
    <row r="479" spans="1:4">
      <c r="A479" s="91" t="s">
        <v>664</v>
      </c>
      <c r="D479" s="182">
        <f>SUMIF(Produção!C:C, A479, Produção!U:U)</f>
        <v>0</v>
      </c>
    </row>
    <row r="480" spans="1:4">
      <c r="A480" s="90" t="s">
        <v>665</v>
      </c>
      <c r="D480" s="182">
        <f>SUMIF(Produção!C:C, A480, Produção!U:U)</f>
        <v>0</v>
      </c>
    </row>
    <row r="481" spans="1:4">
      <c r="A481" s="91" t="s">
        <v>666</v>
      </c>
      <c r="D481" s="182">
        <f>SUMIF(Produção!C:C, A481, Produção!U:U)</f>
        <v>0</v>
      </c>
    </row>
    <row r="482" spans="1:4">
      <c r="A482" s="90" t="s">
        <v>667</v>
      </c>
      <c r="D482" s="182">
        <f>SUMIF(Produção!C:C, A482, Produção!U:U)</f>
        <v>0</v>
      </c>
    </row>
    <row r="483" spans="1:4">
      <c r="A483" s="91" t="s">
        <v>668</v>
      </c>
      <c r="D483" s="182">
        <f>SUMIF(Produção!C:C, A483, Produção!U:U)</f>
        <v>0</v>
      </c>
    </row>
    <row r="484" spans="1:4">
      <c r="A484" s="90" t="s">
        <v>669</v>
      </c>
      <c r="D484" s="182">
        <f>SUMIF(Produção!C:C, A484, Produção!U:U)</f>
        <v>0</v>
      </c>
    </row>
    <row r="485" spans="1:4">
      <c r="A485" s="91" t="s">
        <v>670</v>
      </c>
      <c r="D485" s="182">
        <f>SUMIF(Produção!C:C, A485, Produção!U:U)</f>
        <v>0</v>
      </c>
    </row>
    <row r="486" spans="1:4">
      <c r="A486" s="90" t="s">
        <v>671</v>
      </c>
      <c r="D486" s="182">
        <f>SUMIF(Produção!C:C, A486, Produção!U:U)</f>
        <v>0</v>
      </c>
    </row>
    <row r="487" spans="1:4">
      <c r="A487" s="91" t="s">
        <v>672</v>
      </c>
      <c r="D487" s="182">
        <f>SUMIF(Produção!C:C, A487, Produção!U:U)</f>
        <v>0</v>
      </c>
    </row>
    <row r="488" spans="1:4">
      <c r="A488" s="90" t="s">
        <v>673</v>
      </c>
      <c r="D488" s="182">
        <f>SUMIF(Produção!C:C, A488, Produção!U:U)</f>
        <v>0</v>
      </c>
    </row>
    <row r="489" spans="1:4">
      <c r="A489" s="91" t="s">
        <v>674</v>
      </c>
      <c r="D489" s="182">
        <f>SUMIF(Produção!C:C, A489, Produção!U:U)</f>
        <v>0</v>
      </c>
    </row>
    <row r="490" spans="1:4">
      <c r="A490" s="90" t="s">
        <v>675</v>
      </c>
      <c r="D490" s="182">
        <f>SUMIF(Produção!C:C, A490, Produção!U:U)</f>
        <v>0</v>
      </c>
    </row>
    <row r="491" spans="1:4">
      <c r="A491" s="91" t="s">
        <v>676</v>
      </c>
      <c r="D491" s="182">
        <f>SUMIF(Produção!C:C, A491, Produção!U:U)</f>
        <v>0</v>
      </c>
    </row>
    <row r="492" spans="1:4">
      <c r="A492" s="90" t="s">
        <v>677</v>
      </c>
      <c r="D492" s="182">
        <f>SUMIF(Produção!C:C, A492, Produção!U:U)</f>
        <v>0</v>
      </c>
    </row>
    <row r="493" spans="1:4">
      <c r="A493" s="91" t="s">
        <v>678</v>
      </c>
      <c r="D493" s="182">
        <f>SUMIF(Produção!C:C, A493, Produção!U:U)</f>
        <v>0</v>
      </c>
    </row>
    <row r="494" spans="1:4">
      <c r="A494" s="90" t="s">
        <v>679</v>
      </c>
      <c r="C494" s="1">
        <v>0</v>
      </c>
      <c r="D494" s="182">
        <f>SUMIF(Produção!C:C, A494, Produção!U:U)</f>
        <v>0</v>
      </c>
    </row>
    <row r="495" spans="1:4">
      <c r="A495" s="91" t="s">
        <v>680</v>
      </c>
      <c r="D495" s="182">
        <f>SUMIF(Produção!C:C, A495, Produção!U:U)</f>
        <v>0</v>
      </c>
    </row>
    <row r="496" spans="1:4">
      <c r="A496" s="90" t="s">
        <v>681</v>
      </c>
      <c r="D496" s="182">
        <f>SUMIF(Produção!C:C, A496, Produção!U:U)</f>
        <v>0</v>
      </c>
    </row>
    <row r="497" spans="1:4">
      <c r="A497" s="91" t="s">
        <v>682</v>
      </c>
      <c r="D497" s="182">
        <f>SUMIF(Produção!C:C, A497, Produção!U:U)</f>
        <v>0</v>
      </c>
    </row>
    <row r="498" spans="1:4">
      <c r="A498" s="90" t="s">
        <v>683</v>
      </c>
      <c r="D498" s="182">
        <f>SUMIF(Produção!C:C, A498, Produção!U:U)</f>
        <v>0</v>
      </c>
    </row>
    <row r="499" spans="1:4">
      <c r="A499" s="91" t="s">
        <v>684</v>
      </c>
      <c r="D499" s="182">
        <f>SUMIF(Produção!C:C, A499, Produção!U:U)</f>
        <v>0</v>
      </c>
    </row>
    <row r="500" spans="1:4">
      <c r="A500" s="90" t="s">
        <v>685</v>
      </c>
      <c r="D500" s="182">
        <f>SUMIF(Produção!C:C, A500, Produção!U:U)</f>
        <v>0</v>
      </c>
    </row>
    <row r="501" spans="1:4">
      <c r="A501" s="91" t="s">
        <v>686</v>
      </c>
      <c r="D501" s="182">
        <f>SUMIF(Produção!C:C, A501, Produção!U:U)</f>
        <v>0</v>
      </c>
    </row>
    <row r="502" spans="1:4">
      <c r="A502" s="90" t="s">
        <v>687</v>
      </c>
      <c r="D502" s="182">
        <f>SUMIF(Produção!C:C, A502, Produção!U:U)</f>
        <v>0</v>
      </c>
    </row>
    <row r="503" spans="1:4">
      <c r="A503" s="91" t="s">
        <v>688</v>
      </c>
      <c r="D503" s="182">
        <f>SUMIF(Produção!C:C, A503, Produção!U:U)</f>
        <v>0</v>
      </c>
    </row>
    <row r="504" spans="1:4">
      <c r="A504" s="90" t="s">
        <v>689</v>
      </c>
      <c r="D504" s="182">
        <f>SUMIF(Produção!C:C, A504, Produção!U:U)</f>
        <v>0</v>
      </c>
    </row>
    <row r="505" spans="1:4">
      <c r="A505" s="91" t="s">
        <v>690</v>
      </c>
      <c r="D505" s="182">
        <f>SUMIF(Produção!C:C, A505, Produção!U:U)</f>
        <v>0</v>
      </c>
    </row>
    <row r="506" spans="1:4">
      <c r="A506" s="90" t="s">
        <v>691</v>
      </c>
      <c r="D506" s="182">
        <f>SUMIF(Produção!C:C, A506, Produção!U:U)</f>
        <v>0</v>
      </c>
    </row>
    <row r="507" spans="1:4">
      <c r="A507" s="91" t="s">
        <v>691</v>
      </c>
      <c r="D507" s="182">
        <f>SUMIF(Produção!C:C, A507, Produção!U:U)</f>
        <v>0</v>
      </c>
    </row>
    <row r="508" spans="1:4">
      <c r="A508" s="90" t="s">
        <v>692</v>
      </c>
      <c r="C508" s="1">
        <v>0</v>
      </c>
      <c r="D508" s="182">
        <f>SUMIF(Produção!C:C, A508, Produção!U:U)</f>
        <v>0</v>
      </c>
    </row>
    <row r="509" spans="1:4">
      <c r="A509" s="91" t="s">
        <v>692</v>
      </c>
      <c r="D509" s="182">
        <f>SUMIF(Produção!C:C, A509, Produção!U:U)</f>
        <v>0</v>
      </c>
    </row>
    <row r="510" spans="1:4">
      <c r="A510" s="90" t="s">
        <v>693</v>
      </c>
      <c r="D510" s="182">
        <f>SUMIF(Produção!C:C, A510, Produção!U:U)</f>
        <v>0</v>
      </c>
    </row>
    <row r="511" spans="1:4">
      <c r="A511" s="91" t="s">
        <v>693</v>
      </c>
      <c r="D511" s="182">
        <f>SUMIF(Produção!C:C, A511, Produção!U:U)</f>
        <v>0</v>
      </c>
    </row>
    <row r="512" spans="1:4">
      <c r="A512" s="90" t="s">
        <v>694</v>
      </c>
      <c r="C512" s="1">
        <v>0</v>
      </c>
      <c r="D512" s="182">
        <f>SUMIF(Produção!C:C, A512, Produção!U:U)</f>
        <v>0</v>
      </c>
    </row>
    <row r="513" spans="1:4">
      <c r="A513" s="91" t="s">
        <v>694</v>
      </c>
      <c r="D513" s="182">
        <f>SUMIF(Produção!C:C, A513, Produção!U:U)</f>
        <v>0</v>
      </c>
    </row>
    <row r="514" spans="1:4">
      <c r="A514" s="90" t="s">
        <v>695</v>
      </c>
      <c r="D514" s="182">
        <f>SUMIF(Produção!C:C, A514, Produção!U:U)</f>
        <v>0</v>
      </c>
    </row>
    <row r="515" spans="1:4">
      <c r="A515" s="91" t="s">
        <v>696</v>
      </c>
      <c r="C515" s="1">
        <v>0</v>
      </c>
      <c r="D515" s="182">
        <f>SUMIF(Produção!C:C, A515, Produção!U:U)</f>
        <v>0</v>
      </c>
    </row>
    <row r="516" spans="1:4">
      <c r="A516" s="90" t="s">
        <v>697</v>
      </c>
      <c r="D516" s="182">
        <f>SUMIF(Produção!C:C, A516, Produção!U:U)</f>
        <v>0</v>
      </c>
    </row>
    <row r="517" spans="1:4">
      <c r="A517" s="91" t="s">
        <v>698</v>
      </c>
      <c r="D517" s="182">
        <f>SUMIF(Produção!C:C, A517, Produção!U:U)</f>
        <v>0</v>
      </c>
    </row>
    <row r="518" spans="1:4">
      <c r="A518" s="90" t="s">
        <v>699</v>
      </c>
      <c r="D518" s="182">
        <f>SUMIF(Produção!C:C, A518, Produção!U:U)</f>
        <v>0</v>
      </c>
    </row>
    <row r="519" spans="1:4">
      <c r="A519" s="91" t="s">
        <v>700</v>
      </c>
      <c r="D519" s="182">
        <f>SUMIF(Produção!C:C, A519, Produção!U:U)</f>
        <v>0</v>
      </c>
    </row>
    <row r="520" spans="1:4">
      <c r="A520" s="90" t="s">
        <v>701</v>
      </c>
      <c r="C520" s="1">
        <v>0</v>
      </c>
      <c r="D520" s="182">
        <f>SUMIF(Produção!C:C, A520, Produção!U:U)</f>
        <v>0</v>
      </c>
    </row>
    <row r="521" spans="1:4">
      <c r="A521" s="91" t="s">
        <v>702</v>
      </c>
      <c r="D521" s="182">
        <f>SUMIF(Produção!C:C, A521, Produção!U:U)</f>
        <v>0</v>
      </c>
    </row>
    <row r="522" spans="1:4">
      <c r="A522" s="90" t="s">
        <v>703</v>
      </c>
      <c r="D522" s="182">
        <f>SUMIF(Produção!C:C, A522, Produção!U:U)</f>
        <v>0</v>
      </c>
    </row>
    <row r="523" spans="1:4">
      <c r="A523" s="91" t="s">
        <v>704</v>
      </c>
      <c r="D523" s="182">
        <f>SUMIF(Produção!C:C, A523, Produção!U:U)</f>
        <v>0</v>
      </c>
    </row>
    <row r="524" spans="1:4">
      <c r="A524" s="90" t="s">
        <v>705</v>
      </c>
      <c r="C524" s="1">
        <v>0</v>
      </c>
      <c r="D524" s="182">
        <f>SUMIF(Produção!C:C, A524, Produção!U:U)</f>
        <v>0</v>
      </c>
    </row>
    <row r="525" spans="1:4">
      <c r="A525" s="91" t="s">
        <v>706</v>
      </c>
      <c r="D525" s="182">
        <f>SUMIF(Produção!C:C, A525, Produção!U:U)</f>
        <v>0</v>
      </c>
    </row>
    <row r="526" spans="1:4">
      <c r="A526" s="90" t="s">
        <v>707</v>
      </c>
      <c r="D526" s="182">
        <f>SUMIF(Produção!C:C, A526, Produção!U:U)</f>
        <v>0</v>
      </c>
    </row>
    <row r="527" spans="1:4">
      <c r="A527" s="91" t="s">
        <v>708</v>
      </c>
      <c r="C527" s="1">
        <v>0</v>
      </c>
      <c r="D527" s="182">
        <f>SUMIF(Produção!C:C, A527, Produção!U:U)</f>
        <v>0</v>
      </c>
    </row>
    <row r="528" spans="1:4">
      <c r="A528" s="90" t="s">
        <v>709</v>
      </c>
      <c r="C528" s="1">
        <v>0</v>
      </c>
      <c r="D528" s="182">
        <f>SUMIF(Produção!C:C, A528, Produção!U:U)</f>
        <v>0</v>
      </c>
    </row>
    <row r="529" spans="1:4">
      <c r="A529" s="91" t="s">
        <v>710</v>
      </c>
      <c r="D529" s="182">
        <f>SUMIF(Produção!C:C, A529, Produção!U:U)</f>
        <v>0</v>
      </c>
    </row>
    <row r="530" spans="1:4">
      <c r="A530" s="90" t="s">
        <v>710</v>
      </c>
      <c r="D530" s="182">
        <f>SUMIF(Produção!C:C, A530, Produção!U:U)</f>
        <v>0</v>
      </c>
    </row>
    <row r="531" spans="1:4">
      <c r="A531" s="91" t="s">
        <v>711</v>
      </c>
      <c r="D531" s="182">
        <f>SUMIF(Produção!C:C, A531, Produção!U:U)</f>
        <v>0</v>
      </c>
    </row>
    <row r="532" spans="1:4">
      <c r="A532" s="90" t="s">
        <v>712</v>
      </c>
      <c r="D532" s="182">
        <f>SUMIF(Produção!C:C, A532, Produção!U:U)</f>
        <v>0</v>
      </c>
    </row>
    <row r="533" spans="1:4">
      <c r="A533" s="91" t="s">
        <v>713</v>
      </c>
      <c r="D533" s="182">
        <f>SUMIF(Produção!C:C, A533, Produção!U:U)</f>
        <v>0</v>
      </c>
    </row>
    <row r="534" spans="1:4">
      <c r="A534" s="90" t="s">
        <v>714</v>
      </c>
      <c r="D534" s="182">
        <f>SUMIF(Produção!C:C, A534, Produção!U:U)</f>
        <v>0</v>
      </c>
    </row>
    <row r="535" spans="1:4">
      <c r="A535" s="91" t="s">
        <v>715</v>
      </c>
      <c r="D535" s="182">
        <f>SUMIF(Produção!C:C, A535, Produção!U:U)</f>
        <v>0</v>
      </c>
    </row>
    <row r="536" spans="1:4">
      <c r="A536" s="90" t="s">
        <v>716</v>
      </c>
      <c r="D536" s="182">
        <f>SUMIF(Produção!C:C, A536, Produção!U:U)</f>
        <v>0</v>
      </c>
    </row>
    <row r="537" spans="1:4">
      <c r="A537" s="91" t="s">
        <v>717</v>
      </c>
      <c r="D537" s="182">
        <f>SUMIF(Produção!C:C, A537, Produção!U:U)</f>
        <v>0</v>
      </c>
    </row>
    <row r="538" spans="1:4">
      <c r="A538" s="90" t="s">
        <v>718</v>
      </c>
      <c r="D538" s="182">
        <f>SUMIF(Produção!C:C, A538, Produção!U:U)</f>
        <v>0</v>
      </c>
    </row>
    <row r="539" spans="1:4">
      <c r="A539" s="91" t="s">
        <v>719</v>
      </c>
      <c r="D539" s="182">
        <f>SUMIF(Produção!C:C, A539, Produção!U:U)</f>
        <v>0</v>
      </c>
    </row>
    <row r="540" spans="1:4">
      <c r="A540" s="90" t="s">
        <v>720</v>
      </c>
      <c r="D540" s="182">
        <f>SUMIF(Produção!C:C, A540, Produção!U:U)</f>
        <v>0</v>
      </c>
    </row>
    <row r="541" spans="1:4">
      <c r="A541" s="91" t="s">
        <v>721</v>
      </c>
      <c r="D541" s="182">
        <f>SUMIF(Produção!C:C, A541, Produção!U:U)</f>
        <v>0</v>
      </c>
    </row>
    <row r="542" spans="1:4">
      <c r="A542" s="90" t="s">
        <v>722</v>
      </c>
      <c r="D542" s="182">
        <f>SUMIF(Produção!C:C, A542, Produção!U:U)</f>
        <v>0</v>
      </c>
    </row>
    <row r="543" spans="1:4">
      <c r="A543" s="91" t="s">
        <v>723</v>
      </c>
      <c r="D543" s="182">
        <f>SUMIF(Produção!C:C, A543, Produção!U:U)</f>
        <v>0</v>
      </c>
    </row>
    <row r="544" spans="1:4">
      <c r="A544" s="90" t="s">
        <v>724</v>
      </c>
      <c r="D544" s="182">
        <f>SUMIF(Produção!C:C, A544, Produção!U:U)</f>
        <v>0</v>
      </c>
    </row>
    <row r="545" spans="1:4">
      <c r="A545" s="91" t="s">
        <v>725</v>
      </c>
      <c r="D545" s="182">
        <f>SUMIF(Produção!C:C, A545, Produção!U:U)</f>
        <v>0</v>
      </c>
    </row>
    <row r="546" spans="1:4">
      <c r="A546" s="90" t="s">
        <v>726</v>
      </c>
      <c r="C546" s="1">
        <v>0</v>
      </c>
      <c r="D546" s="182">
        <f>SUMIF(Produção!C:C, A546, Produção!U:U)</f>
        <v>0</v>
      </c>
    </row>
    <row r="547" spans="1:4">
      <c r="A547" s="91" t="s">
        <v>727</v>
      </c>
      <c r="D547" s="182">
        <f>SUMIF(Produção!C:C, A547, Produção!U:U)</f>
        <v>0</v>
      </c>
    </row>
    <row r="548" spans="1:4">
      <c r="A548" s="90" t="s">
        <v>728</v>
      </c>
      <c r="D548" s="182">
        <f>SUMIF(Produção!C:C, A548, Produção!U:U)</f>
        <v>0</v>
      </c>
    </row>
    <row r="549" spans="1:4">
      <c r="A549" s="91" t="s">
        <v>729</v>
      </c>
      <c r="D549" s="182">
        <f>SUMIF(Produção!C:C, A549, Produção!U:U)</f>
        <v>0</v>
      </c>
    </row>
    <row r="550" spans="1:4">
      <c r="A550" s="90" t="s">
        <v>730</v>
      </c>
      <c r="D550" s="182">
        <f>SUMIF(Produção!C:C, A550, Produção!U:U)</f>
        <v>0</v>
      </c>
    </row>
    <row r="551" spans="1:4">
      <c r="A551" s="91" t="s">
        <v>731</v>
      </c>
      <c r="D551" s="182">
        <f>SUMIF(Produção!C:C, A551, Produção!U:U)</f>
        <v>0</v>
      </c>
    </row>
    <row r="552" spans="1:4">
      <c r="A552" s="90" t="s">
        <v>732</v>
      </c>
      <c r="D552" s="182">
        <f>SUMIF(Produção!C:C, A552, Produção!U:U)</f>
        <v>0</v>
      </c>
    </row>
    <row r="553" spans="1:4">
      <c r="A553" s="91" t="s">
        <v>733</v>
      </c>
      <c r="C553" s="1">
        <v>0</v>
      </c>
      <c r="D553" s="182">
        <f>SUMIF(Produção!C:C, A553, Produção!U:U)</f>
        <v>0</v>
      </c>
    </row>
    <row r="554" spans="1:4">
      <c r="A554" s="90" t="s">
        <v>734</v>
      </c>
      <c r="C554" s="1">
        <v>0</v>
      </c>
      <c r="D554" s="182">
        <f>SUMIF(Produção!C:C, A554, Produção!U:U)</f>
        <v>0</v>
      </c>
    </row>
    <row r="555" spans="1:4">
      <c r="A555" s="91" t="s">
        <v>735</v>
      </c>
      <c r="D555" s="182">
        <f>SUMIF(Produção!C:C, A555, Produção!U:U)</f>
        <v>0</v>
      </c>
    </row>
    <row r="556" spans="1:4">
      <c r="A556" s="90" t="s">
        <v>736</v>
      </c>
      <c r="D556" s="182">
        <f>SUMIF(Produção!C:C, A556, Produção!U:U)</f>
        <v>0</v>
      </c>
    </row>
    <row r="557" spans="1:4">
      <c r="A557" s="91" t="s">
        <v>737</v>
      </c>
      <c r="D557" s="182">
        <f>SUMIF(Produção!C:C, A557, Produção!U:U)</f>
        <v>0</v>
      </c>
    </row>
    <row r="558" spans="1:4">
      <c r="A558" s="90" t="s">
        <v>738</v>
      </c>
      <c r="D558" s="182">
        <f>SUMIF(Produção!C:C, A558, Produção!U:U)</f>
        <v>0</v>
      </c>
    </row>
    <row r="559" spans="1:4">
      <c r="A559" s="91" t="s">
        <v>739</v>
      </c>
      <c r="D559" s="182">
        <f>SUMIF(Produção!C:C, A559, Produção!U:U)</f>
        <v>0</v>
      </c>
    </row>
    <row r="560" spans="1:4">
      <c r="A560" s="90" t="s">
        <v>740</v>
      </c>
      <c r="D560" s="182">
        <f>SUMIF(Produção!C:C, A560, Produção!U:U)</f>
        <v>0</v>
      </c>
    </row>
    <row r="561" spans="1:4">
      <c r="A561" s="91" t="s">
        <v>741</v>
      </c>
      <c r="D561" s="182">
        <f>SUMIF(Produção!C:C, A561, Produção!U:U)</f>
        <v>0</v>
      </c>
    </row>
    <row r="562" spans="1:4">
      <c r="A562" s="90" t="s">
        <v>742</v>
      </c>
      <c r="D562" s="182">
        <f>SUMIF(Produção!C:C, A562, Produção!U:U)</f>
        <v>0</v>
      </c>
    </row>
    <row r="563" spans="1:4">
      <c r="A563" s="91" t="s">
        <v>743</v>
      </c>
      <c r="D563" s="182">
        <f>SUMIF(Produção!C:C, A563, Produção!U:U)</f>
        <v>0</v>
      </c>
    </row>
    <row r="564" spans="1:4">
      <c r="A564" s="90" t="s">
        <v>744</v>
      </c>
      <c r="D564" s="182">
        <f>SUMIF(Produção!C:C, A564, Produção!U:U)</f>
        <v>0</v>
      </c>
    </row>
    <row r="565" spans="1:4">
      <c r="A565" s="91" t="s">
        <v>745</v>
      </c>
      <c r="D565" s="182">
        <f>SUMIF(Produção!C:C, A565, Produção!U:U)</f>
        <v>0</v>
      </c>
    </row>
    <row r="566" spans="1:4">
      <c r="A566" s="90" t="s">
        <v>746</v>
      </c>
      <c r="D566" s="182">
        <f>SUMIF(Produção!C:C, A566, Produção!U:U)</f>
        <v>0</v>
      </c>
    </row>
    <row r="567" spans="1:4">
      <c r="A567" s="91" t="s">
        <v>747</v>
      </c>
      <c r="D567" s="182">
        <f>SUMIF(Produção!C:C, A567, Produção!U:U)</f>
        <v>0</v>
      </c>
    </row>
    <row r="568" spans="1:4">
      <c r="A568" s="90" t="s">
        <v>748</v>
      </c>
      <c r="D568" s="182">
        <f>SUMIF(Produção!C:C, A568, Produção!U:U)</f>
        <v>0</v>
      </c>
    </row>
    <row r="569" spans="1:4">
      <c r="A569" s="91" t="s">
        <v>749</v>
      </c>
      <c r="D569" s="182">
        <f>SUMIF(Produção!C:C, A569, Produção!U:U)</f>
        <v>0</v>
      </c>
    </row>
    <row r="570" spans="1:4">
      <c r="A570" s="90" t="s">
        <v>750</v>
      </c>
      <c r="D570" s="182">
        <f>SUMIF(Produção!C:C, A570, Produção!U:U)</f>
        <v>0</v>
      </c>
    </row>
    <row r="571" spans="1:4">
      <c r="A571" s="91" t="s">
        <v>751</v>
      </c>
      <c r="D571" s="182">
        <f>SUMIF(Produção!C:C, A571, Produção!U:U)</f>
        <v>0</v>
      </c>
    </row>
    <row r="572" spans="1:4">
      <c r="A572" s="90" t="s">
        <v>752</v>
      </c>
      <c r="D572" s="182">
        <f>SUMIF(Produção!C:C, A572, Produção!U:U)</f>
        <v>0</v>
      </c>
    </row>
    <row r="573" spans="1:4">
      <c r="A573" s="91" t="s">
        <v>753</v>
      </c>
      <c r="D573" s="182">
        <f>SUMIF(Produção!C:C, A573, Produção!U:U)</f>
        <v>0</v>
      </c>
    </row>
    <row r="574" spans="1:4">
      <c r="A574" s="90" t="s">
        <v>754</v>
      </c>
      <c r="D574" s="182">
        <f>SUMIF(Produção!C:C, A574, Produção!U:U)</f>
        <v>0</v>
      </c>
    </row>
    <row r="575" spans="1:4">
      <c r="A575" s="91" t="s">
        <v>755</v>
      </c>
      <c r="D575" s="182">
        <f>SUMIF(Produção!C:C, A575, Produção!U:U)</f>
        <v>0</v>
      </c>
    </row>
    <row r="576" spans="1:4">
      <c r="A576" s="90" t="s">
        <v>756</v>
      </c>
      <c r="D576" s="182">
        <f>SUMIF(Produção!C:C, A576, Produção!U:U)</f>
        <v>0</v>
      </c>
    </row>
    <row r="577" spans="1:4">
      <c r="A577" s="91" t="s">
        <v>757</v>
      </c>
      <c r="D577" s="182">
        <f>SUMIF(Produção!C:C, A577, Produção!U:U)</f>
        <v>0</v>
      </c>
    </row>
    <row r="578" spans="1:4">
      <c r="A578" s="90" t="s">
        <v>758</v>
      </c>
      <c r="D578" s="182">
        <f>SUMIF(Produção!C:C, A578, Produção!U:U)</f>
        <v>0</v>
      </c>
    </row>
    <row r="579" spans="1:4">
      <c r="A579" s="91" t="s">
        <v>759</v>
      </c>
      <c r="D579" s="182">
        <f>SUMIF(Produção!C:C, A579, Produção!U:U)</f>
        <v>0</v>
      </c>
    </row>
    <row r="580" spans="1:4">
      <c r="A580" s="90" t="s">
        <v>760</v>
      </c>
      <c r="D580" s="182">
        <f>SUMIF(Produção!C:C, A580, Produção!U:U)</f>
        <v>0</v>
      </c>
    </row>
    <row r="581" spans="1:4">
      <c r="A581" s="91" t="s">
        <v>761</v>
      </c>
      <c r="D581" s="182">
        <f>SUMIF(Produção!C:C, A581, Produção!U:U)</f>
        <v>0</v>
      </c>
    </row>
    <row r="582" spans="1:4">
      <c r="A582" s="90" t="s">
        <v>762</v>
      </c>
      <c r="D582" s="182">
        <f>SUMIF(Produção!C:C, A582, Produção!U:U)</f>
        <v>0</v>
      </c>
    </row>
    <row r="583" spans="1:4">
      <c r="A583" s="91" t="s">
        <v>763</v>
      </c>
      <c r="D583" s="182">
        <f>SUMIF(Produção!C:C, A583, Produção!U:U)</f>
        <v>0</v>
      </c>
    </row>
    <row r="584" spans="1:4">
      <c r="A584" s="90" t="s">
        <v>764</v>
      </c>
      <c r="D584" s="182">
        <f>SUMIF(Produção!C:C, A584, Produção!U:U)</f>
        <v>0</v>
      </c>
    </row>
    <row r="585" spans="1:4">
      <c r="A585" s="91" t="s">
        <v>765</v>
      </c>
      <c r="D585" s="182">
        <f>SUMIF(Produção!C:C, A585, Produção!U:U)</f>
        <v>0</v>
      </c>
    </row>
    <row r="586" spans="1:4">
      <c r="A586" s="90" t="s">
        <v>766</v>
      </c>
      <c r="D586" s="182">
        <f>SUMIF(Produção!C:C, A586, Produção!U:U)</f>
        <v>0</v>
      </c>
    </row>
    <row r="587" spans="1:4">
      <c r="A587" s="91" t="s">
        <v>767</v>
      </c>
      <c r="D587" s="182">
        <f>SUMIF(Produção!C:C, A587, Produção!U:U)</f>
        <v>0</v>
      </c>
    </row>
    <row r="588" spans="1:4">
      <c r="A588" s="90" t="s">
        <v>768</v>
      </c>
      <c r="D588" s="182">
        <f>SUMIF(Produção!C:C, A588, Produção!U:U)</f>
        <v>0</v>
      </c>
    </row>
    <row r="589" spans="1:4">
      <c r="A589" s="91" t="s">
        <v>769</v>
      </c>
      <c r="D589" s="182">
        <f>SUMIF(Produção!C:C, A589, Produção!U:U)</f>
        <v>0</v>
      </c>
    </row>
    <row r="590" spans="1:4">
      <c r="A590" s="90" t="s">
        <v>770</v>
      </c>
      <c r="D590" s="182">
        <f>SUMIF(Produção!C:C, A590, Produção!U:U)</f>
        <v>0</v>
      </c>
    </row>
    <row r="591" spans="1:4">
      <c r="A591" s="91" t="s">
        <v>771</v>
      </c>
      <c r="D591" s="182">
        <f>SUMIF(Produção!C:C, A591, Produção!U:U)</f>
        <v>0</v>
      </c>
    </row>
    <row r="592" spans="1:4">
      <c r="A592" s="90" t="s">
        <v>772</v>
      </c>
      <c r="D592" s="182">
        <f>SUMIF(Produção!C:C, A592, Produção!U:U)</f>
        <v>0</v>
      </c>
    </row>
    <row r="593" spans="1:4">
      <c r="A593" s="91" t="s">
        <v>773</v>
      </c>
      <c r="D593" s="182">
        <f>SUMIF(Produção!C:C, A593, Produção!U:U)</f>
        <v>0</v>
      </c>
    </row>
    <row r="594" spans="1:4">
      <c r="A594" s="90" t="s">
        <v>774</v>
      </c>
      <c r="C594" s="1">
        <v>0</v>
      </c>
      <c r="D594" s="182">
        <f>SUMIF(Produção!C:C, A594, Produção!U:U)</f>
        <v>0</v>
      </c>
    </row>
    <row r="595" spans="1:4">
      <c r="A595" s="91" t="s">
        <v>775</v>
      </c>
      <c r="D595" s="182">
        <f>SUMIF(Produção!C:C, A595, Produção!U:U)</f>
        <v>0</v>
      </c>
    </row>
    <row r="596" spans="1:4">
      <c r="A596" s="90" t="s">
        <v>776</v>
      </c>
      <c r="C596" s="1">
        <v>0</v>
      </c>
      <c r="D596" s="182">
        <f>SUMIF(Produção!C:C, A596, Produção!U:U)</f>
        <v>490</v>
      </c>
    </row>
    <row r="597" spans="1:4">
      <c r="A597" s="91" t="s">
        <v>777</v>
      </c>
      <c r="D597" s="182">
        <f>SUMIF(Produção!C:C, A597, Produção!U:U)</f>
        <v>0</v>
      </c>
    </row>
    <row r="598" spans="1:4">
      <c r="A598" s="90" t="s">
        <v>778</v>
      </c>
      <c r="D598" s="182">
        <f>SUMIF(Produção!C:C, A598, Produção!U:U)</f>
        <v>0</v>
      </c>
    </row>
    <row r="599" spans="1:4">
      <c r="A599" s="91" t="s">
        <v>779</v>
      </c>
      <c r="D599" s="182">
        <f>SUMIF(Produção!C:C, A599, Produção!U:U)</f>
        <v>0</v>
      </c>
    </row>
    <row r="600" spans="1:4">
      <c r="A600" s="90" t="s">
        <v>780</v>
      </c>
      <c r="D600" s="182">
        <f>SUMIF(Produção!C:C, A600, Produção!U:U)</f>
        <v>0</v>
      </c>
    </row>
    <row r="601" spans="1:4">
      <c r="A601" s="91" t="s">
        <v>781</v>
      </c>
      <c r="D601" s="182">
        <f>SUMIF(Produção!C:C, A601, Produção!U:U)</f>
        <v>0</v>
      </c>
    </row>
    <row r="602" spans="1:4">
      <c r="A602" s="90" t="s">
        <v>782</v>
      </c>
      <c r="D602" s="182">
        <f>SUMIF(Produção!C:C, A602, Produção!U:U)</f>
        <v>0</v>
      </c>
    </row>
    <row r="603" spans="1:4">
      <c r="A603" s="91" t="s">
        <v>783</v>
      </c>
      <c r="D603" s="182">
        <f>SUMIF(Produção!C:C, A603, Produção!U:U)</f>
        <v>0</v>
      </c>
    </row>
    <row r="604" spans="1:4">
      <c r="A604" s="90" t="s">
        <v>784</v>
      </c>
      <c r="D604" s="182">
        <f>SUMIF(Produção!C:C, A604, Produção!U:U)</f>
        <v>0</v>
      </c>
    </row>
    <row r="605" spans="1:4">
      <c r="A605" s="91" t="s">
        <v>785</v>
      </c>
      <c r="D605" s="182">
        <f>SUMIF(Produção!C:C, A605, Produção!U:U)</f>
        <v>0</v>
      </c>
    </row>
    <row r="606" spans="1:4">
      <c r="A606" s="90" t="s">
        <v>786</v>
      </c>
      <c r="D606" s="182">
        <f>SUMIF(Produção!C:C, A606, Produção!U:U)</f>
        <v>0</v>
      </c>
    </row>
    <row r="607" spans="1:4">
      <c r="A607" s="91" t="s">
        <v>787</v>
      </c>
      <c r="C607" s="1">
        <v>0</v>
      </c>
      <c r="D607" s="182">
        <f>SUMIF(Produção!C:C, A607, Produção!U:U)</f>
        <v>0</v>
      </c>
    </row>
    <row r="608" spans="1:4">
      <c r="A608" s="90" t="s">
        <v>788</v>
      </c>
      <c r="D608" s="182">
        <f>SUMIF(Produção!C:C, A608, Produção!U:U)</f>
        <v>0</v>
      </c>
    </row>
    <row r="609" spans="1:4">
      <c r="A609" s="91" t="s">
        <v>789</v>
      </c>
      <c r="C609" s="1">
        <v>0</v>
      </c>
      <c r="D609" s="182">
        <f>SUMIF(Produção!C:C, A609, Produção!U:U)</f>
        <v>0</v>
      </c>
    </row>
    <row r="610" spans="1:4">
      <c r="A610" s="90" t="s">
        <v>790</v>
      </c>
      <c r="D610" s="182">
        <f>SUMIF(Produção!C:C, A610, Produção!U:U)</f>
        <v>0</v>
      </c>
    </row>
    <row r="611" spans="1:4">
      <c r="A611" s="91" t="s">
        <v>791</v>
      </c>
      <c r="D611" s="182">
        <f>SUMIF(Produção!C:C, A611, Produção!U:U)</f>
        <v>0</v>
      </c>
    </row>
    <row r="612" spans="1:4">
      <c r="A612" s="90" t="s">
        <v>792</v>
      </c>
      <c r="D612" s="182">
        <f>SUMIF(Produção!C:C, A612, Produção!U:U)</f>
        <v>0</v>
      </c>
    </row>
    <row r="613" spans="1:4">
      <c r="A613" s="91" t="s">
        <v>793</v>
      </c>
      <c r="D613" s="182">
        <f>SUMIF(Produção!C:C, A613, Produção!U:U)</f>
        <v>0</v>
      </c>
    </row>
    <row r="614" spans="1:4">
      <c r="A614" s="90" t="s">
        <v>794</v>
      </c>
      <c r="D614" s="182">
        <f>SUMIF(Produção!C:C, A614, Produção!U:U)</f>
        <v>0</v>
      </c>
    </row>
    <row r="615" spans="1:4">
      <c r="A615" s="91" t="s">
        <v>795</v>
      </c>
      <c r="D615" s="182">
        <f>SUMIF(Produção!C:C, A615, Produção!U:U)</f>
        <v>0</v>
      </c>
    </row>
    <row r="616" spans="1:4">
      <c r="A616" s="90" t="s">
        <v>796</v>
      </c>
      <c r="D616" s="182">
        <f>SUMIF(Produção!C:C, A616, Produção!U:U)</f>
        <v>0</v>
      </c>
    </row>
    <row r="617" spans="1:4">
      <c r="A617" s="91" t="s">
        <v>797</v>
      </c>
      <c r="D617" s="182">
        <f>SUMIF(Produção!C:C, A617, Produção!U:U)</f>
        <v>0</v>
      </c>
    </row>
    <row r="618" spans="1:4">
      <c r="A618" s="90" t="s">
        <v>798</v>
      </c>
      <c r="D618" s="182">
        <f>SUMIF(Produção!C:C, A618, Produção!U:U)</f>
        <v>0</v>
      </c>
    </row>
    <row r="619" spans="1:4">
      <c r="A619" s="91" t="s">
        <v>799</v>
      </c>
      <c r="D619" s="182">
        <f>SUMIF(Produção!C:C, A619, Produção!U:U)</f>
        <v>0</v>
      </c>
    </row>
    <row r="620" spans="1:4">
      <c r="A620" s="90" t="s">
        <v>800</v>
      </c>
      <c r="C620" s="1">
        <v>0</v>
      </c>
      <c r="D620" s="182">
        <f>SUMIF(Produção!C:C, A620, Produção!U:U)</f>
        <v>0</v>
      </c>
    </row>
    <row r="621" spans="1:4">
      <c r="A621" s="91" t="s">
        <v>801</v>
      </c>
      <c r="C621" s="1">
        <v>0</v>
      </c>
      <c r="D621" s="182">
        <f>SUMIF(Produção!C:C, A621, Produção!U:U)</f>
        <v>0</v>
      </c>
    </row>
    <row r="622" spans="1:4">
      <c r="A622" s="90" t="s">
        <v>909</v>
      </c>
      <c r="D622" s="182">
        <f>SUMIF(Produção!C:C, A622, Produção!U:U)</f>
        <v>0</v>
      </c>
    </row>
    <row r="623" spans="1:4">
      <c r="A623" s="91" t="s">
        <v>908</v>
      </c>
      <c r="D623" s="182">
        <f>SUMIF(Produção!C:C, A623, Produção!U:U)</f>
        <v>0</v>
      </c>
    </row>
    <row r="624" spans="1:4">
      <c r="A624" s="90" t="s">
        <v>907</v>
      </c>
      <c r="D624" s="182">
        <f>SUMIF(Produção!C:C, A624, Produção!U:U)</f>
        <v>0</v>
      </c>
    </row>
    <row r="625" spans="1:4">
      <c r="A625" s="91" t="s">
        <v>906</v>
      </c>
      <c r="D625" s="182">
        <f>SUMIF(Produção!C:C, A625, Produção!U:U)</f>
        <v>0</v>
      </c>
    </row>
    <row r="626" spans="1:4">
      <c r="A626" s="90" t="s">
        <v>905</v>
      </c>
      <c r="D626" s="182">
        <f>SUMIF(Produção!C:C, A626, Produção!U:U)</f>
        <v>0</v>
      </c>
    </row>
    <row r="627" spans="1:4">
      <c r="A627" s="91" t="s">
        <v>904</v>
      </c>
      <c r="D627" s="182">
        <f>SUMIF(Produção!C:C, A627, Produção!U:U)</f>
        <v>0</v>
      </c>
    </row>
    <row r="628" spans="1:4">
      <c r="A628" s="90" t="s">
        <v>903</v>
      </c>
      <c r="D628" s="182">
        <f>SUMIF(Produção!C:C, A628, Produção!U:U)</f>
        <v>0</v>
      </c>
    </row>
    <row r="629" spans="1:4">
      <c r="A629" s="91" t="s">
        <v>902</v>
      </c>
      <c r="D629" s="182">
        <f>SUMIF(Produção!C:C, A629, Produção!U:U)</f>
        <v>0</v>
      </c>
    </row>
    <row r="630" spans="1:4">
      <c r="A630" s="90" t="s">
        <v>901</v>
      </c>
      <c r="D630" s="182">
        <f>SUMIF(Produção!C:C, A630, Produção!U:U)</f>
        <v>0</v>
      </c>
    </row>
    <row r="631" spans="1:4">
      <c r="A631" s="91" t="s">
        <v>900</v>
      </c>
      <c r="D631" s="182">
        <f>SUMIF(Produção!C:C, A631, Produção!U:U)</f>
        <v>0</v>
      </c>
    </row>
    <row r="632" spans="1:4">
      <c r="A632" s="90" t="s">
        <v>899</v>
      </c>
      <c r="D632" s="182">
        <f>SUMIF(Produção!C:C, A632, Produção!U:U)</f>
        <v>0</v>
      </c>
    </row>
    <row r="633" spans="1:4">
      <c r="A633" s="91" t="s">
        <v>898</v>
      </c>
      <c r="D633" s="182">
        <f>SUMIF(Produção!C:C, A633, Produção!U:U)</f>
        <v>0</v>
      </c>
    </row>
    <row r="634" spans="1:4">
      <c r="A634" s="90" t="s">
        <v>897</v>
      </c>
      <c r="D634" s="182">
        <f>SUMIF(Produção!C:C, A634, Produção!U:U)</f>
        <v>0</v>
      </c>
    </row>
    <row r="635" spans="1:4">
      <c r="A635" s="91" t="s">
        <v>896</v>
      </c>
      <c r="D635" s="182">
        <f>SUMIF(Produção!C:C, A635, Produção!U:U)</f>
        <v>0</v>
      </c>
    </row>
    <row r="636" spans="1:4">
      <c r="A636" s="90" t="s">
        <v>895</v>
      </c>
      <c r="D636" s="182">
        <f>SUMIF(Produção!C:C, A636, Produção!U:U)</f>
        <v>0</v>
      </c>
    </row>
    <row r="637" spans="1:4">
      <c r="A637" s="91" t="s">
        <v>894</v>
      </c>
      <c r="D637" s="182">
        <f>SUMIF(Produção!C:C, A637, Produção!U:U)</f>
        <v>0</v>
      </c>
    </row>
    <row r="638" spans="1:4">
      <c r="A638" s="90" t="s">
        <v>893</v>
      </c>
      <c r="D638" s="182">
        <f>SUMIF(Produção!C:C, A638, Produção!U:U)</f>
        <v>0</v>
      </c>
    </row>
    <row r="639" spans="1:4">
      <c r="A639" s="91" t="s">
        <v>892</v>
      </c>
      <c r="D639" s="182">
        <f>SUMIF(Produção!C:C, A639, Produção!U:U)</f>
        <v>0</v>
      </c>
    </row>
    <row r="640" spans="1:4">
      <c r="A640" s="90" t="s">
        <v>891</v>
      </c>
      <c r="D640" s="182">
        <f>SUMIF(Produção!C:C, A640, Produção!U:U)</f>
        <v>0</v>
      </c>
    </row>
    <row r="641" spans="1:4">
      <c r="A641" s="91" t="s">
        <v>890</v>
      </c>
      <c r="D641" s="182">
        <f>SUMIF(Produção!C:C, A641, Produção!U:U)</f>
        <v>0</v>
      </c>
    </row>
    <row r="642" spans="1:4">
      <c r="A642" s="90" t="s">
        <v>889</v>
      </c>
      <c r="D642" s="182">
        <f>SUMIF(Produção!C:C, A642, Produção!U:U)</f>
        <v>0</v>
      </c>
    </row>
    <row r="643" spans="1:4">
      <c r="A643" s="91" t="s">
        <v>888</v>
      </c>
      <c r="D643" s="182">
        <f>SUMIF(Produção!C:C, A643, Produção!U:U)</f>
        <v>0</v>
      </c>
    </row>
    <row r="644" spans="1:4">
      <c r="A644" s="90" t="s">
        <v>887</v>
      </c>
      <c r="D644" s="182">
        <f>SUMIF(Produção!C:C, A644, Produção!U:U)</f>
        <v>0</v>
      </c>
    </row>
    <row r="645" spans="1:4">
      <c r="A645" s="91" t="s">
        <v>886</v>
      </c>
      <c r="D645" s="182">
        <f>SUMIF(Produção!C:C, A645, Produção!U:U)</f>
        <v>0</v>
      </c>
    </row>
    <row r="646" spans="1:4">
      <c r="A646" s="90" t="s">
        <v>885</v>
      </c>
      <c r="D646" s="182">
        <f>SUMIF(Produção!C:C, A646, Produção!U:U)</f>
        <v>0</v>
      </c>
    </row>
    <row r="647" spans="1:4">
      <c r="A647" s="91" t="s">
        <v>884</v>
      </c>
      <c r="D647" s="182">
        <f>SUMIF(Produção!C:C, A647, Produção!U:U)</f>
        <v>0</v>
      </c>
    </row>
    <row r="648" spans="1:4">
      <c r="A648" s="90" t="s">
        <v>883</v>
      </c>
      <c r="D648" s="182">
        <f>SUMIF(Produção!C:C, A648, Produção!U:U)</f>
        <v>0</v>
      </c>
    </row>
    <row r="649" spans="1:4">
      <c r="A649" s="91" t="s">
        <v>882</v>
      </c>
      <c r="D649" s="182">
        <f>SUMIF(Produção!C:C, A649, Produção!U:U)</f>
        <v>0</v>
      </c>
    </row>
    <row r="650" spans="1:4">
      <c r="A650" s="90" t="s">
        <v>881</v>
      </c>
      <c r="D650" s="182">
        <f>SUMIF(Produção!C:C, A650, Produção!U:U)</f>
        <v>0</v>
      </c>
    </row>
    <row r="651" spans="1:4">
      <c r="A651" s="91" t="s">
        <v>880</v>
      </c>
      <c r="D651" s="182">
        <f>SUMIF(Produção!C:C, A651, Produção!U:U)</f>
        <v>0</v>
      </c>
    </row>
    <row r="652" spans="1:4">
      <c r="A652" s="90" t="s">
        <v>879</v>
      </c>
      <c r="D652" s="182">
        <f>SUMIF(Produção!C:C, A652, Produção!U:U)</f>
        <v>0</v>
      </c>
    </row>
    <row r="653" spans="1:4">
      <c r="A653" s="91" t="s">
        <v>878</v>
      </c>
      <c r="D653" s="182">
        <f>SUMIF(Produção!C:C, A653, Produção!U:U)</f>
        <v>0</v>
      </c>
    </row>
    <row r="654" spans="1:4">
      <c r="A654" s="90" t="s">
        <v>877</v>
      </c>
      <c r="D654" s="182">
        <f>SUMIF(Produção!C:C, A654, Produção!U:U)</f>
        <v>0</v>
      </c>
    </row>
    <row r="655" spans="1:4">
      <c r="A655" s="91" t="s">
        <v>876</v>
      </c>
      <c r="D655" s="182">
        <f>SUMIF(Produção!C:C, A655, Produção!U:U)</f>
        <v>0</v>
      </c>
    </row>
    <row r="656" spans="1:4">
      <c r="A656" s="90" t="s">
        <v>875</v>
      </c>
      <c r="D656" s="182">
        <f>SUMIF(Produção!C:C, A656, Produção!U:U)</f>
        <v>0</v>
      </c>
    </row>
    <row r="657" spans="1:4">
      <c r="A657" s="91" t="s">
        <v>874</v>
      </c>
      <c r="D657" s="182">
        <f>SUMIF(Produção!C:C, A657, Produção!U:U)</f>
        <v>0</v>
      </c>
    </row>
    <row r="658" spans="1:4">
      <c r="A658" s="90" t="s">
        <v>873</v>
      </c>
      <c r="D658" s="182">
        <f>SUMIF(Produção!C:C, A658, Produção!U:U)</f>
        <v>0</v>
      </c>
    </row>
    <row r="659" spans="1:4">
      <c r="A659" s="91" t="s">
        <v>872</v>
      </c>
      <c r="D659" s="182">
        <f>SUMIF(Produção!C:C, A659, Produção!U:U)</f>
        <v>0</v>
      </c>
    </row>
    <row r="660" spans="1:4">
      <c r="A660" s="90" t="s">
        <v>871</v>
      </c>
      <c r="D660" s="182">
        <f>SUMIF(Produção!C:C, A660, Produção!U:U)</f>
        <v>0</v>
      </c>
    </row>
    <row r="661" spans="1:4">
      <c r="A661" s="91" t="s">
        <v>870</v>
      </c>
      <c r="D661" s="182">
        <f>SUMIF(Produção!C:C, A661, Produção!U:U)</f>
        <v>0</v>
      </c>
    </row>
    <row r="662" spans="1:4">
      <c r="A662" s="90" t="s">
        <v>869</v>
      </c>
      <c r="D662" s="182">
        <f>SUMIF(Produção!C:C, A662, Produção!U:U)</f>
        <v>0</v>
      </c>
    </row>
    <row r="663" spans="1:4">
      <c r="A663" s="91" t="s">
        <v>868</v>
      </c>
      <c r="D663" s="182">
        <f>SUMIF(Produção!C:C, A663, Produção!U:U)</f>
        <v>0</v>
      </c>
    </row>
    <row r="664" spans="1:4">
      <c r="A664" s="90" t="s">
        <v>867</v>
      </c>
      <c r="D664" s="182">
        <f>SUMIF(Produção!C:C, A664, Produção!U:U)</f>
        <v>0</v>
      </c>
    </row>
    <row r="665" spans="1:4">
      <c r="A665" s="91" t="s">
        <v>866</v>
      </c>
      <c r="D665" s="182">
        <f>SUMIF(Produção!C:C, A665, Produção!U:U)</f>
        <v>0</v>
      </c>
    </row>
    <row r="666" spans="1:4">
      <c r="A666" s="90" t="s">
        <v>865</v>
      </c>
      <c r="D666" s="182">
        <f>SUMIF(Produção!C:C, A666, Produção!U:U)</f>
        <v>0</v>
      </c>
    </row>
    <row r="667" spans="1:4">
      <c r="A667" s="91" t="s">
        <v>864</v>
      </c>
      <c r="D667" s="182">
        <f>SUMIF(Produção!C:C, A667, Produção!U:U)</f>
        <v>0</v>
      </c>
    </row>
    <row r="668" spans="1:4">
      <c r="A668" s="90" t="s">
        <v>862</v>
      </c>
      <c r="C668" s="1">
        <v>0</v>
      </c>
      <c r="D668" s="182">
        <f>SUMIF(Produção!C:C, A668, Produção!U:U)</f>
        <v>131</v>
      </c>
    </row>
    <row r="669" spans="1:4">
      <c r="A669" s="91" t="s">
        <v>863</v>
      </c>
      <c r="D669" s="182">
        <f>SUMIF(Produção!C:C, A669, Produção!U:U)</f>
        <v>0</v>
      </c>
    </row>
    <row r="670" spans="1:4">
      <c r="A670" s="90" t="s">
        <v>861</v>
      </c>
      <c r="D670" s="182">
        <f>SUMIF(Produção!C:C, A670, Produção!U:U)</f>
        <v>0</v>
      </c>
    </row>
    <row r="671" spans="1:4">
      <c r="A671" s="91" t="s">
        <v>860</v>
      </c>
      <c r="D671" s="182">
        <f>SUMIF(Produção!C:C, A671, Produção!U:U)</f>
        <v>0</v>
      </c>
    </row>
    <row r="672" spans="1:4">
      <c r="A672" s="90" t="s">
        <v>859</v>
      </c>
      <c r="D672" s="182">
        <f>SUMIF(Produção!C:C, A672, Produção!U:U)</f>
        <v>0</v>
      </c>
    </row>
    <row r="673" spans="1:4">
      <c r="A673" s="91" t="s">
        <v>858</v>
      </c>
      <c r="D673" s="182">
        <f>SUMIF(Produção!C:C, A673, Produção!U:U)</f>
        <v>0</v>
      </c>
    </row>
    <row r="674" spans="1:4">
      <c r="A674" s="90" t="s">
        <v>857</v>
      </c>
      <c r="D674" s="182">
        <f>SUMIF(Produção!C:C, A674, Produção!U:U)</f>
        <v>0</v>
      </c>
    </row>
    <row r="675" spans="1:4">
      <c r="A675" s="91" t="s">
        <v>856</v>
      </c>
      <c r="D675" s="182">
        <f>SUMIF(Produção!C:C, A675, Produção!U:U)</f>
        <v>0</v>
      </c>
    </row>
    <row r="676" spans="1:4">
      <c r="A676" s="90" t="s">
        <v>855</v>
      </c>
      <c r="D676" s="182">
        <f>SUMIF(Produção!C:C, A676, Produção!U:U)</f>
        <v>0</v>
      </c>
    </row>
    <row r="677" spans="1:4">
      <c r="A677" s="91" t="s">
        <v>854</v>
      </c>
      <c r="D677" s="182">
        <f>SUMIF(Produção!C:C, A677, Produção!U:U)</f>
        <v>0</v>
      </c>
    </row>
    <row r="678" spans="1:4">
      <c r="A678" s="90" t="s">
        <v>853</v>
      </c>
      <c r="D678" s="182">
        <f>SUMIF(Produção!C:C, A678, Produção!U:U)</f>
        <v>0</v>
      </c>
    </row>
    <row r="679" spans="1:4">
      <c r="A679" s="91" t="s">
        <v>852</v>
      </c>
      <c r="D679" s="182">
        <f>SUMIF(Produção!C:C, A679, Produção!U:U)</f>
        <v>0</v>
      </c>
    </row>
    <row r="680" spans="1:4">
      <c r="A680" s="90" t="s">
        <v>851</v>
      </c>
      <c r="D680" s="182">
        <f>SUMIF(Produção!C:C, A680, Produção!U:U)</f>
        <v>0</v>
      </c>
    </row>
    <row r="681" spans="1:4">
      <c r="A681" s="91" t="s">
        <v>850</v>
      </c>
      <c r="D681" s="182">
        <f>SUMIF(Produção!C:C, A681, Produção!U:U)</f>
        <v>0</v>
      </c>
    </row>
    <row r="682" spans="1:4">
      <c r="A682" s="90" t="s">
        <v>849</v>
      </c>
      <c r="D682" s="182">
        <f>SUMIF(Produção!C:C, A682, Produção!U:U)</f>
        <v>0</v>
      </c>
    </row>
    <row r="683" spans="1:4">
      <c r="A683" s="91" t="s">
        <v>848</v>
      </c>
      <c r="D683" s="182">
        <f>SUMIF(Produção!C:C, A683, Produção!U:U)</f>
        <v>0</v>
      </c>
    </row>
    <row r="684" spans="1:4">
      <c r="A684" s="90" t="s">
        <v>847</v>
      </c>
      <c r="D684" s="182">
        <f>SUMIF(Produção!C:C, A684, Produção!U:U)</f>
        <v>0</v>
      </c>
    </row>
    <row r="685" spans="1:4">
      <c r="A685" s="91" t="s">
        <v>846</v>
      </c>
      <c r="D685" s="182">
        <f>SUMIF(Produção!C:C, A685, Produção!U:U)</f>
        <v>0</v>
      </c>
    </row>
    <row r="686" spans="1:4">
      <c r="A686" s="90" t="s">
        <v>845</v>
      </c>
      <c r="D686" s="182">
        <f>SUMIF(Produção!C:C, A686, Produção!U:U)</f>
        <v>0</v>
      </c>
    </row>
    <row r="687" spans="1:4">
      <c r="A687" s="91" t="s">
        <v>844</v>
      </c>
      <c r="D687" s="182">
        <f>SUMIF(Produção!C:C, A687, Produção!U:U)</f>
        <v>0</v>
      </c>
    </row>
    <row r="688" spans="1:4">
      <c r="A688" s="90" t="s">
        <v>843</v>
      </c>
      <c r="C688" s="1">
        <v>0</v>
      </c>
      <c r="D688" s="182">
        <f>SUMIF(Produção!C:C, A688, Produção!U:U)</f>
        <v>250</v>
      </c>
    </row>
    <row r="689" spans="1:4">
      <c r="A689" s="91" t="s">
        <v>842</v>
      </c>
      <c r="D689" s="182">
        <f>SUMIF(Produção!C:C, A689, Produção!U:U)</f>
        <v>0</v>
      </c>
    </row>
    <row r="690" spans="1:4">
      <c r="A690" s="90" t="s">
        <v>841</v>
      </c>
      <c r="D690" s="182">
        <f>SUMIF(Produção!C:C, A690, Produção!U:U)</f>
        <v>0</v>
      </c>
    </row>
    <row r="691" spans="1:4">
      <c r="A691" s="91" t="s">
        <v>840</v>
      </c>
      <c r="D691" s="182">
        <f>SUMIF(Produção!C:C, A691, Produção!U:U)</f>
        <v>0</v>
      </c>
    </row>
    <row r="692" spans="1:4">
      <c r="A692" s="90" t="s">
        <v>839</v>
      </c>
      <c r="D692" s="182">
        <f>SUMIF(Produção!C:C, A692, Produção!U:U)</f>
        <v>0</v>
      </c>
    </row>
    <row r="693" spans="1:4">
      <c r="A693" s="91" t="s">
        <v>838</v>
      </c>
      <c r="D693" s="182">
        <f>SUMIF(Produção!C:C, A693, Produção!U:U)</f>
        <v>0</v>
      </c>
    </row>
    <row r="694" spans="1:4">
      <c r="A694" s="90" t="s">
        <v>837</v>
      </c>
      <c r="D694" s="182">
        <f>SUMIF(Produção!C:C, A694, Produção!U:U)</f>
        <v>0</v>
      </c>
    </row>
    <row r="695" spans="1:4">
      <c r="A695" s="91" t="s">
        <v>836</v>
      </c>
      <c r="D695" s="182">
        <f>SUMIF(Produção!C:C, A695, Produção!U:U)</f>
        <v>0</v>
      </c>
    </row>
    <row r="696" spans="1:4">
      <c r="A696" s="90" t="s">
        <v>835</v>
      </c>
      <c r="D696" s="182">
        <f>SUMIF(Produção!C:C, A696, Produção!U:U)</f>
        <v>0</v>
      </c>
    </row>
    <row r="697" spans="1:4">
      <c r="A697" s="91" t="s">
        <v>834</v>
      </c>
      <c r="C697" s="1">
        <v>0</v>
      </c>
      <c r="D697" s="182">
        <f>SUMIF(Produção!C:C, A697, Produção!U:U)</f>
        <v>0</v>
      </c>
    </row>
    <row r="698" spans="1:4">
      <c r="A698" s="90" t="s">
        <v>833</v>
      </c>
      <c r="D698" s="182">
        <f>SUMIF(Produção!C:C, A698, Produção!U:U)</f>
        <v>0</v>
      </c>
    </row>
    <row r="699" spans="1:4">
      <c r="A699" s="91" t="s">
        <v>832</v>
      </c>
      <c r="D699" s="182">
        <f>SUMIF(Produção!C:C, A699, Produção!U:U)</f>
        <v>0</v>
      </c>
    </row>
    <row r="700" spans="1:4">
      <c r="A700" s="90" t="s">
        <v>831</v>
      </c>
      <c r="D700" s="182">
        <f>SUMIF(Produção!C:C, A700, Produção!U:U)</f>
        <v>0</v>
      </c>
    </row>
    <row r="701" spans="1:4">
      <c r="A701" s="91" t="s">
        <v>831</v>
      </c>
      <c r="D701" s="182">
        <f>SUMIF(Produção!C:C, A701, Produção!U:U)</f>
        <v>0</v>
      </c>
    </row>
    <row r="702" spans="1:4">
      <c r="A702" s="90" t="s">
        <v>830</v>
      </c>
      <c r="D702" s="182">
        <f>SUMIF(Produção!C:C, A702, Produção!U:U)</f>
        <v>0</v>
      </c>
    </row>
    <row r="703" spans="1:4">
      <c r="A703" s="91" t="s">
        <v>830</v>
      </c>
      <c r="D703" s="182">
        <f>SUMIF(Produção!C:C, A703, Produção!U:U)</f>
        <v>0</v>
      </c>
    </row>
    <row r="704" spans="1:4">
      <c r="A704" s="90" t="s">
        <v>829</v>
      </c>
      <c r="D704" s="182">
        <f>SUMIF(Produção!C:C, A704, Produção!U:U)</f>
        <v>0</v>
      </c>
    </row>
    <row r="705" spans="1:4">
      <c r="A705" s="91" t="s">
        <v>828</v>
      </c>
      <c r="C705" s="1">
        <v>0</v>
      </c>
      <c r="D705" s="182">
        <f>SUMIF(Produção!C:C, A705, Produção!U:U)</f>
        <v>0</v>
      </c>
    </row>
    <row r="706" spans="1:4">
      <c r="A706" s="90" t="s">
        <v>802</v>
      </c>
      <c r="D706" s="182">
        <f>SUMIF(Produção!C:C, A706, Produção!U:U)</f>
        <v>0</v>
      </c>
    </row>
    <row r="707" spans="1:4">
      <c r="A707" s="91" t="s">
        <v>803</v>
      </c>
      <c r="C707" s="1">
        <v>0</v>
      </c>
      <c r="D707" s="182">
        <f>SUMIF(Produção!C:C, A707, Produção!U:U)</f>
        <v>0</v>
      </c>
    </row>
    <row r="708" spans="1:4">
      <c r="A708" s="90" t="s">
        <v>804</v>
      </c>
      <c r="C708" s="1">
        <v>0</v>
      </c>
      <c r="D708" s="182">
        <f>SUMIF(Produção!C:C, A708, Produção!U:U)</f>
        <v>0</v>
      </c>
    </row>
    <row r="709" spans="1:4">
      <c r="A709" s="91" t="s">
        <v>805</v>
      </c>
      <c r="C709" s="1">
        <v>0</v>
      </c>
      <c r="D709" s="182">
        <f>SUMIF(Produção!C:C, A709, Produção!U:U)</f>
        <v>0</v>
      </c>
    </row>
    <row r="710" spans="1:4">
      <c r="A710" s="90" t="s">
        <v>934</v>
      </c>
      <c r="D710" s="182">
        <f>SUMIF(Produção!C:C, A710, Produção!U:U)</f>
        <v>0</v>
      </c>
    </row>
    <row r="711" spans="1:4">
      <c r="A711" s="94" t="s">
        <v>936</v>
      </c>
      <c r="D711" s="182">
        <f>SUMIF(Produção!C:C, A711, Produção!U:U)</f>
        <v>0</v>
      </c>
    </row>
    <row r="712" spans="1:4">
      <c r="A712" s="95" t="s">
        <v>938</v>
      </c>
      <c r="D712" s="182">
        <f>SUMIF(Produção!C:C, A712, Produção!U:U)</f>
        <v>0</v>
      </c>
    </row>
    <row r="713" spans="1:4">
      <c r="A713" s="96" t="s">
        <v>942</v>
      </c>
      <c r="D713" s="182">
        <f>SUMIF(Produção!C:C, A713, Produção!U:U)</f>
        <v>0</v>
      </c>
    </row>
    <row r="714" spans="1:4">
      <c r="C714" s="1">
        <v>0</v>
      </c>
    </row>
  </sheetData>
  <mergeCells count="1"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17142-11CB-4849-9960-75DAAF386AB4}">
  <sheetPr codeName="Planilha9"/>
  <dimension ref="A1:C713"/>
  <sheetViews>
    <sheetView showGridLines="0" topLeftCell="A637" zoomScale="160" zoomScaleNormal="160" workbookViewId="0">
      <selection activeCell="A9" sqref="A9"/>
    </sheetView>
  </sheetViews>
  <sheetFormatPr defaultRowHeight="15"/>
  <cols>
    <col min="1" max="1" width="41.5703125" customWidth="1"/>
    <col min="2" max="2" width="0.7109375" style="183" customWidth="1"/>
    <col min="3" max="3" width="39.5703125" style="59" customWidth="1"/>
  </cols>
  <sheetData>
    <row r="1" spans="1:3">
      <c r="A1" s="64" t="s">
        <v>939</v>
      </c>
      <c r="C1" s="103" t="s">
        <v>941</v>
      </c>
    </row>
    <row r="2" spans="1:3">
      <c r="A2" s="63" t="s">
        <v>190</v>
      </c>
      <c r="C2" s="62">
        <f>SUMIF(Produção!C:C,A2,Produção!S:S)</f>
        <v>0</v>
      </c>
    </row>
    <row r="3" spans="1:3">
      <c r="A3" s="58" t="s">
        <v>191</v>
      </c>
      <c r="B3" s="184"/>
      <c r="C3" s="62">
        <f>SUMIF(Produção!C:C,A3,Produção!S:S)</f>
        <v>0</v>
      </c>
    </row>
    <row r="4" spans="1:3">
      <c r="A4" s="57" t="s">
        <v>192</v>
      </c>
      <c r="C4" s="62">
        <f>SUMIF(Produção!C:C,A4,Produção!S:S)</f>
        <v>0</v>
      </c>
    </row>
    <row r="5" spans="1:3">
      <c r="A5" s="58" t="s">
        <v>193</v>
      </c>
      <c r="C5" s="62">
        <f>SUMIF(Produção!C:C,A5,Produção!S:S)</f>
        <v>0</v>
      </c>
    </row>
    <row r="6" spans="1:3">
      <c r="A6" s="57" t="s">
        <v>194</v>
      </c>
      <c r="C6" s="62">
        <f>SUMIF(Produção!C:C,A6,Produção!S:S)</f>
        <v>0</v>
      </c>
    </row>
    <row r="7" spans="1:3">
      <c r="A7" s="58" t="s">
        <v>195</v>
      </c>
      <c r="C7" s="62">
        <f>SUMIF(Produção!C:C,A7,Produção!S:S)</f>
        <v>0</v>
      </c>
    </row>
    <row r="8" spans="1:3">
      <c r="A8" s="57" t="s">
        <v>196</v>
      </c>
      <c r="C8" s="62">
        <f>SUMIF(Produção!C:C,A8,Produção!S:S)</f>
        <v>0</v>
      </c>
    </row>
    <row r="9" spans="1:3">
      <c r="A9" s="58" t="s">
        <v>197</v>
      </c>
      <c r="C9" s="62">
        <f>SUMIF(Produção!C:C,A9,Produção!S:S)</f>
        <v>0</v>
      </c>
    </row>
    <row r="10" spans="1:3">
      <c r="A10" s="57" t="s">
        <v>198</v>
      </c>
      <c r="C10" s="62">
        <v>0</v>
      </c>
    </row>
    <row r="11" spans="1:3">
      <c r="A11" s="58" t="s">
        <v>199</v>
      </c>
      <c r="C11" s="62">
        <f>SUMIF(Produção!C:C,A11,Produção!S:S)</f>
        <v>0</v>
      </c>
    </row>
    <row r="12" spans="1:3">
      <c r="A12" s="57" t="s">
        <v>200</v>
      </c>
      <c r="C12" s="62">
        <f>SUMIF(Produção!C:C,A12,Produção!S:S)</f>
        <v>0</v>
      </c>
    </row>
    <row r="13" spans="1:3">
      <c r="A13" s="58" t="s">
        <v>201</v>
      </c>
      <c r="C13" s="62">
        <f>SUMIF(Produção!C:C,A13,Produção!S:S)</f>
        <v>0</v>
      </c>
    </row>
    <row r="14" spans="1:3">
      <c r="A14" s="57" t="s">
        <v>202</v>
      </c>
      <c r="C14" s="62">
        <f>SUMIF(Produção!C:C,A14,Produção!S:S)</f>
        <v>0</v>
      </c>
    </row>
    <row r="15" spans="1:3">
      <c r="A15" s="58" t="s">
        <v>203</v>
      </c>
      <c r="C15" s="62">
        <f>SUMIF(Produção!C:C,A15,Produção!S:S)</f>
        <v>0</v>
      </c>
    </row>
    <row r="16" spans="1:3">
      <c r="A16" s="57" t="s">
        <v>204</v>
      </c>
      <c r="C16" s="62">
        <f>SUMIF(Produção!C:C,A16,Produção!S:S)</f>
        <v>0</v>
      </c>
    </row>
    <row r="17" spans="1:3">
      <c r="A17" s="58" t="s">
        <v>205</v>
      </c>
      <c r="C17" s="62">
        <f>SUMIF(Produção!C:C,A17,Produção!S:S)</f>
        <v>0</v>
      </c>
    </row>
    <row r="18" spans="1:3">
      <c r="A18" s="57" t="s">
        <v>206</v>
      </c>
      <c r="C18" s="62">
        <f>SUMIF(Produção!C:C,A18,Produção!S:S)</f>
        <v>0</v>
      </c>
    </row>
    <row r="19" spans="1:3">
      <c r="A19" s="58" t="s">
        <v>207</v>
      </c>
      <c r="C19" s="62">
        <f>SUMIF(Produção!C:C,A19,Produção!S:S)</f>
        <v>0</v>
      </c>
    </row>
    <row r="20" spans="1:3">
      <c r="A20" s="57" t="s">
        <v>208</v>
      </c>
      <c r="C20" s="62">
        <v>0</v>
      </c>
    </row>
    <row r="21" spans="1:3">
      <c r="A21" s="58" t="s">
        <v>209</v>
      </c>
      <c r="C21" s="62">
        <f>SUMIF(Produção!C:C,A21,Produção!S:S)</f>
        <v>0</v>
      </c>
    </row>
    <row r="22" spans="1:3">
      <c r="A22" s="57" t="s">
        <v>210</v>
      </c>
      <c r="C22" s="62">
        <f>SUMIF(Produção!C:C,A22,Produção!S:S)</f>
        <v>0</v>
      </c>
    </row>
    <row r="23" spans="1:3">
      <c r="A23" s="58" t="s">
        <v>211</v>
      </c>
      <c r="C23" s="62">
        <f>SUMIF(Produção!C:C,A23,Produção!S:S)</f>
        <v>0</v>
      </c>
    </row>
    <row r="24" spans="1:3">
      <c r="A24" s="57" t="s">
        <v>212</v>
      </c>
      <c r="C24" s="62">
        <v>0</v>
      </c>
    </row>
    <row r="25" spans="1:3">
      <c r="A25" s="58" t="s">
        <v>213</v>
      </c>
      <c r="C25" s="62">
        <f>SUMIF(Produção!C:C,A25,Produção!S:S)</f>
        <v>0</v>
      </c>
    </row>
    <row r="26" spans="1:3">
      <c r="A26" s="57" t="s">
        <v>214</v>
      </c>
      <c r="C26" s="62">
        <f>SUMIF(Produção!C:C,A26,Produção!S:S)</f>
        <v>0</v>
      </c>
    </row>
    <row r="27" spans="1:3">
      <c r="A27" s="58" t="s">
        <v>215</v>
      </c>
      <c r="C27" s="62">
        <f>SUMIF(Produção!C:C,A27,Produção!S:S)</f>
        <v>0</v>
      </c>
    </row>
    <row r="28" spans="1:3">
      <c r="A28" s="57" t="s">
        <v>216</v>
      </c>
      <c r="C28" s="62">
        <f>SUMIF(Produção!C:C,A28,Produção!S:S)</f>
        <v>0</v>
      </c>
    </row>
    <row r="29" spans="1:3">
      <c r="A29" s="58" t="s">
        <v>217</v>
      </c>
      <c r="C29" s="62">
        <f>SUMIF(Produção!C:C,A29,Produção!S:S)</f>
        <v>0</v>
      </c>
    </row>
    <row r="30" spans="1:3">
      <c r="A30" s="57" t="s">
        <v>218</v>
      </c>
      <c r="C30" s="62">
        <f>SUMIF(Produção!C:C,A30,Produção!S:S)</f>
        <v>0</v>
      </c>
    </row>
    <row r="31" spans="1:3">
      <c r="A31" s="58" t="s">
        <v>219</v>
      </c>
      <c r="C31" s="62">
        <f>SUMIF(Produção!C:C,A31,Produção!S:S)</f>
        <v>0</v>
      </c>
    </row>
    <row r="32" spans="1:3">
      <c r="A32" s="57" t="s">
        <v>220</v>
      </c>
      <c r="C32" s="62">
        <f>SUMIF(Produção!C:C,A32,Produção!S:S)</f>
        <v>0</v>
      </c>
    </row>
    <row r="33" spans="1:3">
      <c r="A33" s="58" t="s">
        <v>221</v>
      </c>
      <c r="C33" s="62">
        <f>SUMIF(Produção!C:C,A33,Produção!S:S)</f>
        <v>0</v>
      </c>
    </row>
    <row r="34" spans="1:3">
      <c r="A34" s="57" t="s">
        <v>222</v>
      </c>
      <c r="C34" s="62">
        <f>SUMIF(Produção!C:C,A34,Produção!S:S)</f>
        <v>0</v>
      </c>
    </row>
    <row r="35" spans="1:3">
      <c r="A35" s="58" t="s">
        <v>223</v>
      </c>
      <c r="C35" s="62">
        <f>SUMIF(Produção!C:C,A35,Produção!S:S)</f>
        <v>0</v>
      </c>
    </row>
    <row r="36" spans="1:3">
      <c r="A36" s="57" t="s">
        <v>224</v>
      </c>
      <c r="C36" s="62">
        <f>SUMIF(Produção!C:C,A36,Produção!S:S)</f>
        <v>0</v>
      </c>
    </row>
    <row r="37" spans="1:3">
      <c r="A37" s="58" t="s">
        <v>225</v>
      </c>
      <c r="C37" s="62">
        <f>SUMIF(Produção!C:C,A37,Produção!S:S)</f>
        <v>0</v>
      </c>
    </row>
    <row r="38" spans="1:3">
      <c r="A38" s="57" t="s">
        <v>226</v>
      </c>
      <c r="C38" s="62">
        <f>SUMIF(Produção!C:C,A38,Produção!S:S)</f>
        <v>0</v>
      </c>
    </row>
    <row r="39" spans="1:3">
      <c r="A39" s="58" t="s">
        <v>227</v>
      </c>
      <c r="C39" s="62">
        <f>SUMIF(Produção!C:C,A39,Produção!S:S)</f>
        <v>0</v>
      </c>
    </row>
    <row r="40" spans="1:3">
      <c r="A40" s="57" t="s">
        <v>228</v>
      </c>
      <c r="C40" s="62">
        <f>SUMIF(Produção!C:C,A40,Produção!S:S)</f>
        <v>0</v>
      </c>
    </row>
    <row r="41" spans="1:3">
      <c r="A41" s="58" t="s">
        <v>229</v>
      </c>
      <c r="C41" s="62">
        <f>SUMIF(Produção!C:C,A41,Produção!S:S)</f>
        <v>0</v>
      </c>
    </row>
    <row r="42" spans="1:3">
      <c r="A42" s="57" t="s">
        <v>230</v>
      </c>
      <c r="C42" s="62">
        <f>SUMIF(Produção!C:C,A42,Produção!S:S)</f>
        <v>0</v>
      </c>
    </row>
    <row r="43" spans="1:3">
      <c r="A43" s="58" t="s">
        <v>231</v>
      </c>
      <c r="C43" s="62">
        <f>SUMIF(Produção!C:C,A43,Produção!S:S)</f>
        <v>0</v>
      </c>
    </row>
    <row r="44" spans="1:3">
      <c r="A44" s="57" t="s">
        <v>232</v>
      </c>
      <c r="C44" s="62">
        <f>SUMIF(Produção!C:C,A44,Produção!S:S)</f>
        <v>0</v>
      </c>
    </row>
    <row r="45" spans="1:3">
      <c r="A45" s="58" t="s">
        <v>233</v>
      </c>
      <c r="C45" s="62">
        <f>SUMIF(Produção!C:C,A45,Produção!S:S)</f>
        <v>0</v>
      </c>
    </row>
    <row r="46" spans="1:3">
      <c r="A46" s="57" t="s">
        <v>234</v>
      </c>
      <c r="C46" s="62">
        <f>SUMIF(Produção!C:C,A46,Produção!S:S)</f>
        <v>0</v>
      </c>
    </row>
    <row r="47" spans="1:3">
      <c r="A47" s="58" t="s">
        <v>235</v>
      </c>
      <c r="C47" s="62">
        <f>SUMIF(Produção!C:C,A47,Produção!S:S)</f>
        <v>0</v>
      </c>
    </row>
    <row r="48" spans="1:3">
      <c r="A48" s="57" t="s">
        <v>236</v>
      </c>
      <c r="C48" s="62">
        <f>SUMIF(Produção!C:C,A48,Produção!S:S)</f>
        <v>0</v>
      </c>
    </row>
    <row r="49" spans="1:3">
      <c r="A49" s="58" t="s">
        <v>237</v>
      </c>
      <c r="C49" s="62">
        <f>SUMIF(Produção!C:C,A49,Produção!S:S)</f>
        <v>0</v>
      </c>
    </row>
    <row r="50" spans="1:3">
      <c r="A50" s="57" t="s">
        <v>238</v>
      </c>
      <c r="C50" s="62">
        <f>SUMIF(Produção!C:C,A50,Produção!S:S)</f>
        <v>0</v>
      </c>
    </row>
    <row r="51" spans="1:3">
      <c r="A51" s="58" t="s">
        <v>239</v>
      </c>
      <c r="C51" s="62">
        <f>SUMIF(Produção!C:C,A51,Produção!S:S)</f>
        <v>0</v>
      </c>
    </row>
    <row r="52" spans="1:3">
      <c r="A52" s="57" t="s">
        <v>240</v>
      </c>
      <c r="C52" s="62">
        <f>SUMIF(Produção!C:C,A52,Produção!S:S)</f>
        <v>0</v>
      </c>
    </row>
    <row r="53" spans="1:3">
      <c r="A53" s="58" t="s">
        <v>241</v>
      </c>
      <c r="C53" s="62">
        <f>SUMIF(Produção!C:C,A53,Produção!S:S)</f>
        <v>0</v>
      </c>
    </row>
    <row r="54" spans="1:3">
      <c r="A54" s="57" t="s">
        <v>242</v>
      </c>
      <c r="C54" s="62">
        <f>SUMIF(Produção!C:C,A54,Produção!S:S)</f>
        <v>0</v>
      </c>
    </row>
    <row r="55" spans="1:3">
      <c r="A55" s="58" t="s">
        <v>243</v>
      </c>
      <c r="C55" s="62">
        <f>SUMIF(Produção!C:C,A55,Produção!S:S)</f>
        <v>0</v>
      </c>
    </row>
    <row r="56" spans="1:3">
      <c r="A56" s="57" t="s">
        <v>244</v>
      </c>
      <c r="C56" s="62">
        <f>SUMIF(Produção!C:C,A56,Produção!S:S)</f>
        <v>0</v>
      </c>
    </row>
    <row r="57" spans="1:3">
      <c r="A57" s="58" t="s">
        <v>245</v>
      </c>
      <c r="C57" s="62">
        <f>SUMIF(Produção!C:C,A57,Produção!S:S)</f>
        <v>0</v>
      </c>
    </row>
    <row r="58" spans="1:3">
      <c r="A58" s="57" t="s">
        <v>246</v>
      </c>
      <c r="C58" s="62">
        <f>SUMIF(Produção!C:C,A58,Produção!S:S)</f>
        <v>0</v>
      </c>
    </row>
    <row r="59" spans="1:3">
      <c r="A59" s="58" t="s">
        <v>247</v>
      </c>
      <c r="C59" s="62">
        <f>SUMIF(Produção!C:C,A59,Produção!S:S)</f>
        <v>0</v>
      </c>
    </row>
    <row r="60" spans="1:3">
      <c r="A60" s="57" t="s">
        <v>248</v>
      </c>
      <c r="C60" s="62">
        <f>SUMIF(Produção!C:C,A60,Produção!S:S)</f>
        <v>0</v>
      </c>
    </row>
    <row r="61" spans="1:3">
      <c r="A61" s="58" t="s">
        <v>249</v>
      </c>
      <c r="C61" s="62">
        <f>SUMIF(Produção!C:C,A61,Produção!S:S)</f>
        <v>0</v>
      </c>
    </row>
    <row r="62" spans="1:3">
      <c r="A62" s="57" t="s">
        <v>250</v>
      </c>
      <c r="C62" s="62">
        <f>SUMIF(Produção!C:C,A62,Produção!S:S)</f>
        <v>0</v>
      </c>
    </row>
    <row r="63" spans="1:3">
      <c r="A63" s="58" t="s">
        <v>251</v>
      </c>
      <c r="C63" s="62">
        <f>SUMIF(Produção!C:C,A63,Produção!S:S)</f>
        <v>0</v>
      </c>
    </row>
    <row r="64" spans="1:3">
      <c r="A64" s="57" t="s">
        <v>252</v>
      </c>
      <c r="C64" s="62">
        <f>SUMIF(Produção!C:C,A64,Produção!S:S)</f>
        <v>0</v>
      </c>
    </row>
    <row r="65" spans="1:3">
      <c r="A65" s="58" t="s">
        <v>253</v>
      </c>
      <c r="C65" s="62">
        <f>SUMIF(Produção!C:C,A65,Produção!S:S)</f>
        <v>0</v>
      </c>
    </row>
    <row r="66" spans="1:3">
      <c r="A66" s="57" t="s">
        <v>254</v>
      </c>
      <c r="C66" s="62">
        <f>SUMIF(Produção!C:C,A66,Produção!S:S)</f>
        <v>0</v>
      </c>
    </row>
    <row r="67" spans="1:3">
      <c r="A67" s="58" t="s">
        <v>255</v>
      </c>
      <c r="C67" s="62">
        <f>SUMIF(Produção!C:C,A67,Produção!S:S)</f>
        <v>0</v>
      </c>
    </row>
    <row r="68" spans="1:3">
      <c r="A68" s="57" t="s">
        <v>256</v>
      </c>
      <c r="C68" s="62">
        <f>SUMIF(Produção!C:C,A68,Produção!S:S)</f>
        <v>0</v>
      </c>
    </row>
    <row r="69" spans="1:3">
      <c r="A69" s="58" t="s">
        <v>257</v>
      </c>
      <c r="C69" s="62">
        <f>SUMIF(Produção!C:C,A69,Produção!S:S)</f>
        <v>0</v>
      </c>
    </row>
    <row r="70" spans="1:3">
      <c r="A70" s="57" t="s">
        <v>258</v>
      </c>
      <c r="C70" s="62">
        <f>SUMIF(Produção!C:C,A70,Produção!S:S)</f>
        <v>0</v>
      </c>
    </row>
    <row r="71" spans="1:3">
      <c r="A71" s="58" t="s">
        <v>259</v>
      </c>
      <c r="C71" s="62">
        <f>SUMIF(Produção!C:C,A71,Produção!S:S)</f>
        <v>0</v>
      </c>
    </row>
    <row r="72" spans="1:3">
      <c r="A72" s="57" t="s">
        <v>260</v>
      </c>
      <c r="C72" s="62">
        <f>SUMIF(Produção!C:C,A72,Produção!S:S)</f>
        <v>0</v>
      </c>
    </row>
    <row r="73" spans="1:3">
      <c r="A73" s="58" t="s">
        <v>261</v>
      </c>
      <c r="C73" s="62">
        <f>SUMIF(Produção!C:C,A73,Produção!S:S)</f>
        <v>0</v>
      </c>
    </row>
    <row r="74" spans="1:3">
      <c r="A74" s="57" t="s">
        <v>262</v>
      </c>
      <c r="C74" s="62">
        <f>SUMIF(Produção!C:C,A74,Produção!S:S)</f>
        <v>0</v>
      </c>
    </row>
    <row r="75" spans="1:3">
      <c r="A75" s="58" t="s">
        <v>263</v>
      </c>
      <c r="C75" s="62">
        <f>SUMIF(Produção!C:C,A75,Produção!S:S)</f>
        <v>0</v>
      </c>
    </row>
    <row r="76" spans="1:3">
      <c r="A76" s="57" t="s">
        <v>264</v>
      </c>
      <c r="C76" s="62">
        <f>SUMIF(Produção!C:C,A76,Produção!S:S)</f>
        <v>0</v>
      </c>
    </row>
    <row r="77" spans="1:3">
      <c r="A77" s="58" t="s">
        <v>265</v>
      </c>
      <c r="C77" s="62">
        <f>SUMIF(Produção!C:C,A77,Produção!S:S)</f>
        <v>0</v>
      </c>
    </row>
    <row r="78" spans="1:3">
      <c r="A78" s="57" t="s">
        <v>266</v>
      </c>
      <c r="C78" s="62">
        <f>SUMIF(Produção!C:C,A78,Produção!S:S)</f>
        <v>0</v>
      </c>
    </row>
    <row r="79" spans="1:3">
      <c r="A79" s="58" t="s">
        <v>267</v>
      </c>
      <c r="C79" s="62">
        <f>SUMIF(Produção!C:C,A79,Produção!S:S)</f>
        <v>0</v>
      </c>
    </row>
    <row r="80" spans="1:3">
      <c r="A80" s="57" t="s">
        <v>268</v>
      </c>
      <c r="C80" s="62">
        <f>SUMIF(Produção!C:C,A80,Produção!S:S)</f>
        <v>0</v>
      </c>
    </row>
    <row r="81" spans="1:3">
      <c r="A81" s="58" t="s">
        <v>269</v>
      </c>
      <c r="C81" s="62">
        <f>SUMIF(Produção!C:C,A81,Produção!S:S)</f>
        <v>0</v>
      </c>
    </row>
    <row r="82" spans="1:3">
      <c r="A82" s="57" t="s">
        <v>270</v>
      </c>
      <c r="C82" s="62">
        <f>SUMIF(Produção!C:C,A82,Produção!S:S)</f>
        <v>0</v>
      </c>
    </row>
    <row r="83" spans="1:3">
      <c r="A83" s="58" t="s">
        <v>271</v>
      </c>
      <c r="C83" s="62">
        <f>SUMIF(Produção!C:C,A83,Produção!S:S)</f>
        <v>0</v>
      </c>
    </row>
    <row r="84" spans="1:3">
      <c r="A84" s="57" t="s">
        <v>272</v>
      </c>
      <c r="C84" s="62">
        <f>SUMIF(Produção!C:C,A84,Produção!S:S)</f>
        <v>0</v>
      </c>
    </row>
    <row r="85" spans="1:3">
      <c r="A85" s="58" t="s">
        <v>273</v>
      </c>
      <c r="C85" s="62">
        <f>SUMIF(Produção!C:C,A85,Produção!S:S)</f>
        <v>0</v>
      </c>
    </row>
    <row r="86" spans="1:3">
      <c r="A86" s="57" t="s">
        <v>274</v>
      </c>
      <c r="C86" s="62">
        <f>SUMIF(Produção!C:C,A86,Produção!S:S)</f>
        <v>0</v>
      </c>
    </row>
    <row r="87" spans="1:3">
      <c r="A87" s="58" t="s">
        <v>275</v>
      </c>
      <c r="C87" s="62">
        <f>SUMIF(Produção!C:C,A87,Produção!S:S)</f>
        <v>0</v>
      </c>
    </row>
    <row r="88" spans="1:3">
      <c r="A88" s="57" t="s">
        <v>276</v>
      </c>
      <c r="C88" s="62">
        <f>SUMIF(Produção!C:C,A88,Produção!S:S)</f>
        <v>0</v>
      </c>
    </row>
    <row r="89" spans="1:3">
      <c r="A89" s="58" t="s">
        <v>277</v>
      </c>
      <c r="C89" s="62">
        <f>SUMIF(Produção!C:C,A89,Produção!S:S)</f>
        <v>0</v>
      </c>
    </row>
    <row r="90" spans="1:3">
      <c r="A90" s="57" t="s">
        <v>278</v>
      </c>
      <c r="C90" s="62">
        <f>SUMIF(Produção!C:C,A90,Produção!S:S)</f>
        <v>0</v>
      </c>
    </row>
    <row r="91" spans="1:3">
      <c r="A91" s="58" t="s">
        <v>279</v>
      </c>
      <c r="C91" s="62">
        <f>SUMIF(Produção!C:C,A91,Produção!S:S)</f>
        <v>0</v>
      </c>
    </row>
    <row r="92" spans="1:3">
      <c r="A92" s="57" t="s">
        <v>280</v>
      </c>
      <c r="C92" s="62">
        <f>SUMIF(Produção!C:C,A92,Produção!S:S)</f>
        <v>0</v>
      </c>
    </row>
    <row r="93" spans="1:3">
      <c r="A93" s="58" t="s">
        <v>281</v>
      </c>
      <c r="C93" s="62">
        <f>SUMIF(Produção!C:C,A93,Produção!S:S)</f>
        <v>0</v>
      </c>
    </row>
    <row r="94" spans="1:3">
      <c r="A94" s="57" t="s">
        <v>282</v>
      </c>
      <c r="C94" s="62">
        <f>SUMIF(Produção!C:C,A94,Produção!S:S)</f>
        <v>0</v>
      </c>
    </row>
    <row r="95" spans="1:3">
      <c r="A95" s="58" t="s">
        <v>283</v>
      </c>
      <c r="C95" s="62">
        <f>SUMIF(Produção!C:C,A95,Produção!S:S)</f>
        <v>0</v>
      </c>
    </row>
    <row r="96" spans="1:3">
      <c r="A96" s="57" t="s">
        <v>284</v>
      </c>
      <c r="C96" s="62">
        <f>SUMIF(Produção!C:C,A96,Produção!S:S)</f>
        <v>0</v>
      </c>
    </row>
    <row r="97" spans="1:3">
      <c r="A97" s="58" t="s">
        <v>285</v>
      </c>
      <c r="C97" s="62">
        <f>SUMIF(Produção!C:C,A97,Produção!S:S)</f>
        <v>0</v>
      </c>
    </row>
    <row r="98" spans="1:3">
      <c r="A98" s="57" t="s">
        <v>286</v>
      </c>
      <c r="C98" s="62">
        <f>SUMIF(Produção!C:C,A98,Produção!S:S)</f>
        <v>0</v>
      </c>
    </row>
    <row r="99" spans="1:3">
      <c r="A99" s="58" t="s">
        <v>287</v>
      </c>
      <c r="C99" s="62">
        <f>SUMIF(Produção!C:C,A99,Produção!S:S)</f>
        <v>0</v>
      </c>
    </row>
    <row r="100" spans="1:3">
      <c r="A100" s="57" t="s">
        <v>288</v>
      </c>
      <c r="C100" s="62">
        <f>SUMIF(Produção!C:C,A100,Produção!S:S)</f>
        <v>0</v>
      </c>
    </row>
    <row r="101" spans="1:3">
      <c r="A101" s="58" t="s">
        <v>289</v>
      </c>
      <c r="C101" s="62">
        <f>SUMIF(Produção!C:C,A101,Produção!S:S)</f>
        <v>0</v>
      </c>
    </row>
    <row r="102" spans="1:3">
      <c r="A102" s="57" t="s">
        <v>290</v>
      </c>
      <c r="C102" s="62">
        <f>SUMIF(Produção!C:C,A102,Produção!S:S)</f>
        <v>0</v>
      </c>
    </row>
    <row r="103" spans="1:3">
      <c r="A103" s="58" t="s">
        <v>291</v>
      </c>
      <c r="C103" s="62">
        <f>SUMIF(Produção!C:C,A103,Produção!S:S)</f>
        <v>0</v>
      </c>
    </row>
    <row r="104" spans="1:3">
      <c r="A104" s="57" t="s">
        <v>292</v>
      </c>
      <c r="C104" s="62">
        <f>SUMIF(Produção!C:C,A104,Produção!S:S)</f>
        <v>0</v>
      </c>
    </row>
    <row r="105" spans="1:3">
      <c r="A105" s="58" t="s">
        <v>293</v>
      </c>
      <c r="C105" s="62">
        <f>SUMIF(Produção!C:C,A105,Produção!S:S)</f>
        <v>0</v>
      </c>
    </row>
    <row r="106" spans="1:3">
      <c r="A106" s="57" t="s">
        <v>294</v>
      </c>
      <c r="C106" s="62">
        <f>SUMIF(Produção!C:C,A106,Produção!S:S)</f>
        <v>0</v>
      </c>
    </row>
    <row r="107" spans="1:3">
      <c r="A107" s="58" t="s">
        <v>295</v>
      </c>
      <c r="C107" s="62">
        <f>SUMIF(Produção!C:C,A107,Produção!S:S)</f>
        <v>0</v>
      </c>
    </row>
    <row r="108" spans="1:3">
      <c r="A108" s="57" t="s">
        <v>296</v>
      </c>
      <c r="C108" s="62">
        <f>SUMIF(Produção!C:C,A108,Produção!S:S)</f>
        <v>0</v>
      </c>
    </row>
    <row r="109" spans="1:3">
      <c r="A109" s="58" t="s">
        <v>297</v>
      </c>
      <c r="C109" s="62">
        <f>SUMIF(Produção!C:C,A109,Produção!S:S)</f>
        <v>0</v>
      </c>
    </row>
    <row r="110" spans="1:3">
      <c r="A110" s="57" t="s">
        <v>298</v>
      </c>
      <c r="C110" s="62">
        <f>SUMIF(Produção!C:C,A110,Produção!S:S)</f>
        <v>0</v>
      </c>
    </row>
    <row r="111" spans="1:3">
      <c r="A111" s="58" t="s">
        <v>299</v>
      </c>
      <c r="C111" s="62">
        <f>SUMIF(Produção!C:C,A111,Produção!S:S)</f>
        <v>0</v>
      </c>
    </row>
    <row r="112" spans="1:3">
      <c r="A112" s="57" t="s">
        <v>300</v>
      </c>
      <c r="C112" s="62">
        <f>SUMIF(Produção!C:C,A112,Produção!S:S)</f>
        <v>0</v>
      </c>
    </row>
    <row r="113" spans="1:3">
      <c r="A113" s="58" t="s">
        <v>301</v>
      </c>
      <c r="C113" s="62">
        <f>SUMIF(Produção!C:C,A113,Produção!S:S)</f>
        <v>0</v>
      </c>
    </row>
    <row r="114" spans="1:3">
      <c r="A114" s="57" t="s">
        <v>302</v>
      </c>
      <c r="C114" s="62">
        <f>SUMIF(Produção!C:C,A114,Produção!S:S)</f>
        <v>0</v>
      </c>
    </row>
    <row r="115" spans="1:3">
      <c r="A115" s="58" t="s">
        <v>303</v>
      </c>
      <c r="C115" s="62">
        <f>SUMIF(Produção!C:C,A115,Produção!S:S)</f>
        <v>0</v>
      </c>
    </row>
    <row r="116" spans="1:3">
      <c r="A116" s="57" t="s">
        <v>304</v>
      </c>
      <c r="C116" s="62">
        <f>SUMIF(Produção!C:C,A116,Produção!S:S)</f>
        <v>0</v>
      </c>
    </row>
    <row r="117" spans="1:3">
      <c r="A117" s="58" t="s">
        <v>305</v>
      </c>
      <c r="C117" s="62">
        <f>SUMIF(Produção!C:C,A117,Produção!S:S)</f>
        <v>0</v>
      </c>
    </row>
    <row r="118" spans="1:3">
      <c r="A118" s="57" t="s">
        <v>306</v>
      </c>
      <c r="C118" s="62">
        <f>SUMIF(Produção!C:C,A118,Produção!S:S)</f>
        <v>0</v>
      </c>
    </row>
    <row r="119" spans="1:3">
      <c r="A119" s="58" t="s">
        <v>307</v>
      </c>
      <c r="C119" s="62">
        <f>SUMIF(Produção!C:C,A119,Produção!S:S)</f>
        <v>0</v>
      </c>
    </row>
    <row r="120" spans="1:3">
      <c r="A120" s="57" t="s">
        <v>308</v>
      </c>
      <c r="C120" s="62">
        <f>SUMIF(Produção!C:C,A120,Produção!S:S)</f>
        <v>0</v>
      </c>
    </row>
    <row r="121" spans="1:3">
      <c r="A121" s="58" t="s">
        <v>309</v>
      </c>
      <c r="C121" s="62">
        <f>SUMIF(Produção!C:C,A121,Produção!S:S)</f>
        <v>0</v>
      </c>
    </row>
    <row r="122" spans="1:3">
      <c r="A122" s="57" t="s">
        <v>310</v>
      </c>
      <c r="C122" s="62">
        <f>SUMIF(Produção!C:C,A122,Produção!S:S)</f>
        <v>0</v>
      </c>
    </row>
    <row r="123" spans="1:3">
      <c r="A123" s="58" t="s">
        <v>311</v>
      </c>
      <c r="C123" s="62">
        <f>SUMIF(Produção!C:C,A123,Produção!S:S)</f>
        <v>0</v>
      </c>
    </row>
    <row r="124" spans="1:3">
      <c r="A124" s="57" t="s">
        <v>312</v>
      </c>
      <c r="C124" s="62">
        <f>SUMIF(Produção!C:C,A124,Produção!S:S)</f>
        <v>0</v>
      </c>
    </row>
    <row r="125" spans="1:3">
      <c r="A125" s="58" t="s">
        <v>313</v>
      </c>
      <c r="C125" s="62">
        <f>SUMIF(Produção!C:C,A125,Produção!S:S)</f>
        <v>0</v>
      </c>
    </row>
    <row r="126" spans="1:3">
      <c r="A126" s="57" t="s">
        <v>314</v>
      </c>
      <c r="C126" s="62">
        <f>SUMIF(Produção!C:C,A126,Produção!S:S)</f>
        <v>0</v>
      </c>
    </row>
    <row r="127" spans="1:3">
      <c r="A127" s="58" t="s">
        <v>315</v>
      </c>
      <c r="C127" s="62">
        <f>SUMIF(Produção!C:C,A127,Produção!S:S)</f>
        <v>0</v>
      </c>
    </row>
    <row r="128" spans="1:3">
      <c r="A128" s="57" t="s">
        <v>316</v>
      </c>
      <c r="C128" s="62">
        <f>SUMIF(Produção!C:C,A128,Produção!S:S)</f>
        <v>0</v>
      </c>
    </row>
    <row r="129" spans="1:3">
      <c r="A129" s="58" t="s">
        <v>317</v>
      </c>
      <c r="C129" s="62">
        <f>SUMIF(Produção!C:C,A129,Produção!S:S)</f>
        <v>0</v>
      </c>
    </row>
    <row r="130" spans="1:3">
      <c r="A130" s="57" t="s">
        <v>318</v>
      </c>
      <c r="C130" s="62">
        <f>SUMIF(Produção!C:C,A130,Produção!S:S)</f>
        <v>0</v>
      </c>
    </row>
    <row r="131" spans="1:3">
      <c r="A131" s="58" t="s">
        <v>319</v>
      </c>
      <c r="C131" s="62">
        <f>SUMIF(Produção!C:C,A131,Produção!S:S)</f>
        <v>0</v>
      </c>
    </row>
    <row r="132" spans="1:3">
      <c r="A132" s="57" t="s">
        <v>320</v>
      </c>
      <c r="C132" s="62">
        <f>SUMIF(Produção!C:C,A132,Produção!S:S)</f>
        <v>0</v>
      </c>
    </row>
    <row r="133" spans="1:3">
      <c r="A133" s="58" t="s">
        <v>321</v>
      </c>
      <c r="C133" s="62">
        <f>SUMIF(Produção!C:C,A133,Produção!S:S)</f>
        <v>0</v>
      </c>
    </row>
    <row r="134" spans="1:3">
      <c r="A134" s="57" t="s">
        <v>322</v>
      </c>
      <c r="C134" s="62">
        <f>SUMIF(Produção!C:C,A134,Produção!S:S)</f>
        <v>0</v>
      </c>
    </row>
    <row r="135" spans="1:3">
      <c r="A135" s="58" t="s">
        <v>323</v>
      </c>
      <c r="C135" s="62">
        <f>SUMIF(Produção!C:C,A135,Produção!S:S)</f>
        <v>0</v>
      </c>
    </row>
    <row r="136" spans="1:3">
      <c r="A136" s="57" t="s">
        <v>324</v>
      </c>
      <c r="C136" s="62">
        <f>SUMIF(Produção!C:C,A136,Produção!S:S)</f>
        <v>0</v>
      </c>
    </row>
    <row r="137" spans="1:3">
      <c r="A137" s="58" t="s">
        <v>325</v>
      </c>
      <c r="C137" s="62">
        <f>SUMIF(Produção!C:C,A137,Produção!S:S)</f>
        <v>0</v>
      </c>
    </row>
    <row r="138" spans="1:3">
      <c r="A138" s="57" t="s">
        <v>326</v>
      </c>
      <c r="C138" s="62">
        <f>SUMIF(Produção!C:C,A138,Produção!S:S)</f>
        <v>0</v>
      </c>
    </row>
    <row r="139" spans="1:3">
      <c r="A139" s="58" t="s">
        <v>327</v>
      </c>
      <c r="C139" s="62">
        <f>SUMIF(Produção!C:C,A139,Produção!S:S)</f>
        <v>0</v>
      </c>
    </row>
    <row r="140" spans="1:3">
      <c r="A140" s="57" t="s">
        <v>328</v>
      </c>
      <c r="C140" s="62">
        <f>SUMIF(Produção!C:C,A140,Produção!S:S)</f>
        <v>0</v>
      </c>
    </row>
    <row r="141" spans="1:3">
      <c r="A141" s="58" t="s">
        <v>329</v>
      </c>
      <c r="C141" s="62">
        <f>SUMIF(Produção!C:C,A141,Produção!S:S)</f>
        <v>0</v>
      </c>
    </row>
    <row r="142" spans="1:3">
      <c r="A142" s="57" t="s">
        <v>827</v>
      </c>
      <c r="C142" s="62">
        <f>SUMIF(Produção!C:C,A142,Produção!S:S)</f>
        <v>0</v>
      </c>
    </row>
    <row r="143" spans="1:3">
      <c r="A143" s="58" t="s">
        <v>330</v>
      </c>
      <c r="C143" s="62">
        <f>SUMIF(Produção!C:C,A143,Produção!S:S)</f>
        <v>0</v>
      </c>
    </row>
    <row r="144" spans="1:3">
      <c r="A144" s="57" t="s">
        <v>331</v>
      </c>
      <c r="C144" s="62">
        <f>SUMIF(Produção!C:C,A144,Produção!S:S)</f>
        <v>0</v>
      </c>
    </row>
    <row r="145" spans="1:3">
      <c r="A145" s="58" t="s">
        <v>332</v>
      </c>
      <c r="C145" s="62">
        <f>SUMIF(Produção!C:C,A145,Produção!S:S)</f>
        <v>0</v>
      </c>
    </row>
    <row r="146" spans="1:3">
      <c r="A146" s="57" t="s">
        <v>333</v>
      </c>
      <c r="C146" s="62">
        <f>SUMIF(Produção!C:C,A146,Produção!S:S)</f>
        <v>0</v>
      </c>
    </row>
    <row r="147" spans="1:3">
      <c r="A147" s="58" t="s">
        <v>334</v>
      </c>
      <c r="C147" s="62">
        <f>SUMIF(Produção!C:C,A147,Produção!S:S)</f>
        <v>0</v>
      </c>
    </row>
    <row r="148" spans="1:3">
      <c r="A148" s="57" t="s">
        <v>335</v>
      </c>
      <c r="C148" s="62">
        <f>SUMIF(Produção!C:C,A148,Produção!S:S)</f>
        <v>0</v>
      </c>
    </row>
    <row r="149" spans="1:3">
      <c r="A149" s="58" t="s">
        <v>336</v>
      </c>
      <c r="C149" s="62">
        <f>SUMIF(Produção!C:C,A149,Produção!S:S)</f>
        <v>0</v>
      </c>
    </row>
    <row r="150" spans="1:3">
      <c r="A150" s="57" t="s">
        <v>337</v>
      </c>
      <c r="C150" s="62">
        <f>SUMIF(Produção!C:C,A150,Produção!S:S)</f>
        <v>0</v>
      </c>
    </row>
    <row r="151" spans="1:3">
      <c r="A151" s="58" t="s">
        <v>338</v>
      </c>
      <c r="C151" s="62">
        <f>SUMIF(Produção!C:C,A151,Produção!S:S)</f>
        <v>0</v>
      </c>
    </row>
    <row r="152" spans="1:3">
      <c r="A152" s="57" t="s">
        <v>339</v>
      </c>
      <c r="C152" s="62">
        <f>SUMIF(Produção!C:C,A152,Produção!S:S)</f>
        <v>0</v>
      </c>
    </row>
    <row r="153" spans="1:3">
      <c r="A153" s="58" t="s">
        <v>340</v>
      </c>
      <c r="C153" s="62">
        <f>SUMIF(Produção!C:C,A153,Produção!S:S)</f>
        <v>0</v>
      </c>
    </row>
    <row r="154" spans="1:3">
      <c r="A154" s="57" t="s">
        <v>341</v>
      </c>
      <c r="C154" s="62">
        <f>SUMIF(Produção!C:C,A154,Produção!S:S)</f>
        <v>0</v>
      </c>
    </row>
    <row r="155" spans="1:3">
      <c r="A155" s="58" t="s">
        <v>342</v>
      </c>
      <c r="C155" s="62">
        <f>SUMIF(Produção!C:C,A155,Produção!S:S)</f>
        <v>0</v>
      </c>
    </row>
    <row r="156" spans="1:3">
      <c r="A156" s="57" t="s">
        <v>343</v>
      </c>
      <c r="C156" s="62">
        <f>SUMIF(Produção!C:C,A156,Produção!S:S)</f>
        <v>0</v>
      </c>
    </row>
    <row r="157" spans="1:3">
      <c r="A157" s="58" t="s">
        <v>344</v>
      </c>
      <c r="C157" s="62">
        <f>SUMIF(Produção!C:C,A157,Produção!S:S)</f>
        <v>0</v>
      </c>
    </row>
    <row r="158" spans="1:3">
      <c r="A158" s="57" t="s">
        <v>345</v>
      </c>
      <c r="C158" s="62">
        <f>SUMIF(Produção!C:C,A158,Produção!S:S)</f>
        <v>0</v>
      </c>
    </row>
    <row r="159" spans="1:3">
      <c r="A159" s="58" t="s">
        <v>346</v>
      </c>
      <c r="C159" s="62">
        <f>SUMIF(Produção!C:C,A159,Produção!S:S)</f>
        <v>0</v>
      </c>
    </row>
    <row r="160" spans="1:3">
      <c r="A160" s="57" t="s">
        <v>347</v>
      </c>
      <c r="C160" s="62">
        <f>SUMIF(Produção!C:C,A160,Produção!S:S)</f>
        <v>0</v>
      </c>
    </row>
    <row r="161" spans="1:3">
      <c r="A161" s="58" t="s">
        <v>348</v>
      </c>
      <c r="C161" s="62">
        <f>SUMIF(Produção!C:C,A161,Produção!S:S)</f>
        <v>0</v>
      </c>
    </row>
    <row r="162" spans="1:3">
      <c r="A162" s="57" t="s">
        <v>349</v>
      </c>
      <c r="C162" s="62">
        <f>SUMIF(Produção!C:C,A162,Produção!S:S)</f>
        <v>0</v>
      </c>
    </row>
    <row r="163" spans="1:3">
      <c r="A163" s="58" t="s">
        <v>350</v>
      </c>
      <c r="C163" s="62">
        <f>SUMIF(Produção!C:C,A163,Produção!S:S)</f>
        <v>0</v>
      </c>
    </row>
    <row r="164" spans="1:3">
      <c r="A164" s="57" t="s">
        <v>351</v>
      </c>
      <c r="C164" s="62">
        <f>SUMIF(Produção!C:C,A164,Produção!S:S)</f>
        <v>0</v>
      </c>
    </row>
    <row r="165" spans="1:3">
      <c r="A165" s="58" t="s">
        <v>352</v>
      </c>
      <c r="C165" s="62">
        <f>SUMIF(Produção!C:C,A165,Produção!S:S)</f>
        <v>0</v>
      </c>
    </row>
    <row r="166" spans="1:3">
      <c r="A166" s="57" t="s">
        <v>353</v>
      </c>
      <c r="C166" s="62">
        <f>SUMIF(Produção!C:C,A166,Produção!S:S)</f>
        <v>0</v>
      </c>
    </row>
    <row r="167" spans="1:3">
      <c r="A167" s="58" t="s">
        <v>354</v>
      </c>
      <c r="C167" s="62">
        <f>SUMIF(Produção!C:C,A167,Produção!S:S)</f>
        <v>0</v>
      </c>
    </row>
    <row r="168" spans="1:3">
      <c r="A168" s="57" t="s">
        <v>355</v>
      </c>
      <c r="C168" s="62">
        <f>SUMIF(Produção!C:C,A168,Produção!S:S)</f>
        <v>0</v>
      </c>
    </row>
    <row r="169" spans="1:3">
      <c r="A169" s="58" t="s">
        <v>356</v>
      </c>
      <c r="C169" s="62">
        <f>SUMIF(Produção!C:C,A169,Produção!S:S)</f>
        <v>0</v>
      </c>
    </row>
    <row r="170" spans="1:3">
      <c r="A170" s="57" t="s">
        <v>357</v>
      </c>
      <c r="C170" s="62">
        <f>SUMIF(Produção!C:C,A170,Produção!S:S)</f>
        <v>0</v>
      </c>
    </row>
    <row r="171" spans="1:3">
      <c r="A171" s="58" t="s">
        <v>358</v>
      </c>
      <c r="C171" s="62">
        <f>SUMIF(Produção!C:C,A171,Produção!S:S)</f>
        <v>0</v>
      </c>
    </row>
    <row r="172" spans="1:3">
      <c r="A172" s="57" t="s">
        <v>359</v>
      </c>
      <c r="C172" s="62">
        <f>SUMIF(Produção!C:C,A172,Produção!S:S)</f>
        <v>0</v>
      </c>
    </row>
    <row r="173" spans="1:3">
      <c r="A173" s="58" t="s">
        <v>360</v>
      </c>
      <c r="C173" s="62">
        <f>SUMIF(Produção!C:C,A173,Produção!S:S)</f>
        <v>0</v>
      </c>
    </row>
    <row r="174" spans="1:3">
      <c r="A174" s="57" t="s">
        <v>361</v>
      </c>
      <c r="C174" s="62">
        <f>SUMIF(Produção!C:C,A174,Produção!S:S)</f>
        <v>0</v>
      </c>
    </row>
    <row r="175" spans="1:3">
      <c r="A175" s="58" t="s">
        <v>362</v>
      </c>
      <c r="C175" s="62">
        <f>SUMIF(Produção!C:C,A175,Produção!S:S)</f>
        <v>0</v>
      </c>
    </row>
    <row r="176" spans="1:3">
      <c r="A176" s="57" t="s">
        <v>363</v>
      </c>
      <c r="C176" s="62">
        <f>SUMIF(Produção!C:C,A176,Produção!S:S)</f>
        <v>0</v>
      </c>
    </row>
    <row r="177" spans="1:3">
      <c r="A177" s="58" t="s">
        <v>364</v>
      </c>
      <c r="C177" s="62">
        <f>SUMIF(Produção!C:C,A177,Produção!S:S)</f>
        <v>0</v>
      </c>
    </row>
    <row r="178" spans="1:3">
      <c r="A178" s="57" t="s">
        <v>365</v>
      </c>
      <c r="C178" s="62">
        <f>SUMIF(Produção!C:C,A178,Produção!S:S)</f>
        <v>0</v>
      </c>
    </row>
    <row r="179" spans="1:3">
      <c r="A179" s="58" t="s">
        <v>366</v>
      </c>
      <c r="C179" s="62">
        <f>SUMIF(Produção!C:C,A179,Produção!S:S)</f>
        <v>0</v>
      </c>
    </row>
    <row r="180" spans="1:3">
      <c r="A180" s="57" t="s">
        <v>367</v>
      </c>
      <c r="C180" s="62">
        <f>SUMIF(Produção!C:C,A180,Produção!S:S)</f>
        <v>0</v>
      </c>
    </row>
    <row r="181" spans="1:3">
      <c r="A181" s="58" t="s">
        <v>368</v>
      </c>
      <c r="C181" s="62">
        <f>SUMIF(Produção!C:C,A181,Produção!S:S)</f>
        <v>0</v>
      </c>
    </row>
    <row r="182" spans="1:3">
      <c r="A182" s="57" t="s">
        <v>369</v>
      </c>
      <c r="C182" s="62">
        <f>SUMIF(Produção!C:C,A182,Produção!S:S)</f>
        <v>0</v>
      </c>
    </row>
    <row r="183" spans="1:3">
      <c r="A183" s="58" t="s">
        <v>370</v>
      </c>
      <c r="C183" s="62">
        <f>SUMIF(Produção!C:C,A183,Produção!S:S)</f>
        <v>0</v>
      </c>
    </row>
    <row r="184" spans="1:3">
      <c r="A184" s="57" t="s">
        <v>371</v>
      </c>
      <c r="C184" s="62">
        <f>SUMIF(Produção!C:C,A184,Produção!S:S)</f>
        <v>0</v>
      </c>
    </row>
    <row r="185" spans="1:3">
      <c r="A185" s="58" t="s">
        <v>372</v>
      </c>
      <c r="C185" s="62">
        <f>SUMIF(Produção!C:C,A185,Produção!S:S)</f>
        <v>0</v>
      </c>
    </row>
    <row r="186" spans="1:3">
      <c r="A186" s="57" t="s">
        <v>373</v>
      </c>
      <c r="C186" s="62">
        <f>SUMIF(Produção!C:C,A186,Produção!S:S)</f>
        <v>0</v>
      </c>
    </row>
    <row r="187" spans="1:3">
      <c r="A187" s="58" t="s">
        <v>374</v>
      </c>
      <c r="C187" s="62">
        <f>SUMIF(Produção!C:C,A187,Produção!S:S)</f>
        <v>0</v>
      </c>
    </row>
    <row r="188" spans="1:3">
      <c r="A188" s="57" t="s">
        <v>375</v>
      </c>
      <c r="C188" s="62">
        <f>SUMIF(Produção!C:C,A188,Produção!S:S)</f>
        <v>0</v>
      </c>
    </row>
    <row r="189" spans="1:3">
      <c r="A189" s="58" t="s">
        <v>376</v>
      </c>
      <c r="C189" s="62">
        <f>SUMIF(Produção!C:C,A189,Produção!S:S)</f>
        <v>0</v>
      </c>
    </row>
    <row r="190" spans="1:3">
      <c r="A190" s="57" t="s">
        <v>377</v>
      </c>
      <c r="C190" s="62">
        <f>SUMIF(Produção!C:C,A190,Produção!S:S)</f>
        <v>0</v>
      </c>
    </row>
    <row r="191" spans="1:3">
      <c r="A191" s="58" t="s">
        <v>378</v>
      </c>
      <c r="C191" s="62">
        <f>SUMIF(Produção!C:C,A191,Produção!S:S)</f>
        <v>0</v>
      </c>
    </row>
    <row r="192" spans="1:3">
      <c r="A192" s="57" t="s">
        <v>379</v>
      </c>
      <c r="C192" s="62">
        <f>SUMIF(Produção!C:C,A192,Produção!S:S)</f>
        <v>0</v>
      </c>
    </row>
    <row r="193" spans="1:3">
      <c r="A193" s="58" t="s">
        <v>380</v>
      </c>
      <c r="C193" s="62">
        <f>SUMIF(Produção!C:C,A193,Produção!S:S)</f>
        <v>0</v>
      </c>
    </row>
    <row r="194" spans="1:3">
      <c r="A194" s="57" t="s">
        <v>381</v>
      </c>
      <c r="C194" s="62">
        <f>SUMIF(Produção!C:C,A194,Produção!S:S)</f>
        <v>0</v>
      </c>
    </row>
    <row r="195" spans="1:3">
      <c r="A195" s="58" t="s">
        <v>382</v>
      </c>
      <c r="C195" s="62">
        <f>SUMIF(Produção!C:C,A195,Produção!S:S)</f>
        <v>0</v>
      </c>
    </row>
    <row r="196" spans="1:3">
      <c r="A196" s="57" t="s">
        <v>383</v>
      </c>
      <c r="C196" s="62">
        <f>SUMIF(Produção!C:C,A196,Produção!S:S)</f>
        <v>0</v>
      </c>
    </row>
    <row r="197" spans="1:3">
      <c r="A197" s="58" t="s">
        <v>384</v>
      </c>
      <c r="C197" s="62">
        <f>SUMIF(Produção!C:C,A197,Produção!S:S)</f>
        <v>0</v>
      </c>
    </row>
    <row r="198" spans="1:3">
      <c r="A198" s="57" t="s">
        <v>385</v>
      </c>
      <c r="C198" s="62">
        <f>SUMIF(Produção!C:C,A198,Produção!S:S)</f>
        <v>0</v>
      </c>
    </row>
    <row r="199" spans="1:3">
      <c r="A199" s="58" t="s">
        <v>386</v>
      </c>
      <c r="C199" s="62">
        <f>SUMIF(Produção!C:C,A199,Produção!S:S)</f>
        <v>0</v>
      </c>
    </row>
    <row r="200" spans="1:3">
      <c r="A200" s="57" t="s">
        <v>387</v>
      </c>
      <c r="C200" s="62">
        <f>SUMIF(Produção!C:C,A200,Produção!S:S)</f>
        <v>0</v>
      </c>
    </row>
    <row r="201" spans="1:3">
      <c r="A201" s="58" t="s">
        <v>388</v>
      </c>
      <c r="C201" s="62">
        <f>SUMIF(Produção!C:C,A201,Produção!S:S)</f>
        <v>0</v>
      </c>
    </row>
    <row r="202" spans="1:3">
      <c r="A202" s="57" t="s">
        <v>389</v>
      </c>
      <c r="C202" s="62">
        <f>SUMIF(Produção!C:C,A202,Produção!S:S)</f>
        <v>0</v>
      </c>
    </row>
    <row r="203" spans="1:3">
      <c r="A203" s="58" t="s">
        <v>390</v>
      </c>
      <c r="C203" s="62">
        <f>SUMIF(Produção!C:C,A203,Produção!S:S)</f>
        <v>0</v>
      </c>
    </row>
    <row r="204" spans="1:3">
      <c r="A204" s="57" t="s">
        <v>391</v>
      </c>
      <c r="C204" s="62">
        <f>SUMIF(Produção!C:C,A204,Produção!S:S)</f>
        <v>0</v>
      </c>
    </row>
    <row r="205" spans="1:3">
      <c r="A205" s="58" t="s">
        <v>392</v>
      </c>
      <c r="C205" s="62">
        <f>SUMIF(Produção!C:C,A205,Produção!S:S)</f>
        <v>0</v>
      </c>
    </row>
    <row r="206" spans="1:3">
      <c r="A206" s="57" t="s">
        <v>393</v>
      </c>
      <c r="C206" s="62">
        <f>SUMIF(Produção!C:C,A206,Produção!S:S)</f>
        <v>0</v>
      </c>
    </row>
    <row r="207" spans="1:3">
      <c r="A207" s="58" t="s">
        <v>394</v>
      </c>
      <c r="C207" s="62">
        <f>SUMIF(Produção!C:C,A207,Produção!S:S)</f>
        <v>0</v>
      </c>
    </row>
    <row r="208" spans="1:3">
      <c r="A208" s="57" t="s">
        <v>395</v>
      </c>
      <c r="C208" s="62">
        <f>SUMIF(Produção!C:C,A208,Produção!S:S)</f>
        <v>0</v>
      </c>
    </row>
    <row r="209" spans="1:3">
      <c r="A209" s="58" t="s">
        <v>396</v>
      </c>
      <c r="C209" s="62">
        <f>SUMIF(Produção!C:C,A209,Produção!S:S)</f>
        <v>0</v>
      </c>
    </row>
    <row r="210" spans="1:3">
      <c r="A210" s="57" t="s">
        <v>397</v>
      </c>
      <c r="C210" s="62">
        <f>SUMIF(Produção!C:C,A210,Produção!S:S)</f>
        <v>0</v>
      </c>
    </row>
    <row r="211" spans="1:3">
      <c r="A211" s="58" t="s">
        <v>398</v>
      </c>
      <c r="C211" s="62">
        <f>SUMIF(Produção!C:C,A211,Produção!S:S)</f>
        <v>0</v>
      </c>
    </row>
    <row r="212" spans="1:3">
      <c r="A212" s="57" t="s">
        <v>399</v>
      </c>
      <c r="C212" s="62">
        <f>SUMIF(Produção!C:C,A212,Produção!S:S)</f>
        <v>0</v>
      </c>
    </row>
    <row r="213" spans="1:3">
      <c r="A213" s="58" t="s">
        <v>400</v>
      </c>
      <c r="C213" s="62">
        <f>SUMIF(Produção!C:C,A213,Produção!S:S)</f>
        <v>0</v>
      </c>
    </row>
    <row r="214" spans="1:3">
      <c r="A214" s="57" t="s">
        <v>401</v>
      </c>
      <c r="C214" s="62">
        <f>SUMIF(Produção!C:C,A214,Produção!S:S)</f>
        <v>0</v>
      </c>
    </row>
    <row r="215" spans="1:3">
      <c r="A215" s="58" t="s">
        <v>402</v>
      </c>
      <c r="C215" s="62">
        <f>SUMIF(Produção!C:C,A215,Produção!S:S)</f>
        <v>0</v>
      </c>
    </row>
    <row r="216" spans="1:3">
      <c r="A216" s="57" t="s">
        <v>403</v>
      </c>
      <c r="C216" s="62">
        <f>SUMIF(Produção!C:C,A216,Produção!S:S)</f>
        <v>0</v>
      </c>
    </row>
    <row r="217" spans="1:3">
      <c r="A217" s="58" t="s">
        <v>404</v>
      </c>
      <c r="C217" s="62">
        <f>SUMIF(Produção!C:C,A217,Produção!S:S)</f>
        <v>0</v>
      </c>
    </row>
    <row r="218" spans="1:3">
      <c r="A218" s="57" t="s">
        <v>405</v>
      </c>
      <c r="C218" s="62">
        <f>SUMIF(Produção!C:C,A218,Produção!S:S)</f>
        <v>0</v>
      </c>
    </row>
    <row r="219" spans="1:3">
      <c r="A219" s="58" t="s">
        <v>406</v>
      </c>
      <c r="C219" s="62">
        <f>SUMIF(Produção!C:C,A219,Produção!S:S)</f>
        <v>0</v>
      </c>
    </row>
    <row r="220" spans="1:3">
      <c r="A220" s="57" t="s">
        <v>407</v>
      </c>
      <c r="C220" s="62">
        <f>SUMIF(Produção!C:C,A220,Produção!S:S)</f>
        <v>0</v>
      </c>
    </row>
    <row r="221" spans="1:3">
      <c r="A221" s="58" t="s">
        <v>408</v>
      </c>
      <c r="C221" s="62">
        <f>SUMIF(Produção!C:C,A221,Produção!S:S)</f>
        <v>0</v>
      </c>
    </row>
    <row r="222" spans="1:3">
      <c r="A222" s="57" t="s">
        <v>409</v>
      </c>
      <c r="C222" s="62">
        <f>SUMIF(Produção!C:C,A222,Produção!S:S)</f>
        <v>0</v>
      </c>
    </row>
    <row r="223" spans="1:3">
      <c r="A223" s="58" t="s">
        <v>410</v>
      </c>
      <c r="C223" s="62">
        <f>SUMIF(Produção!C:C,A223,Produção!S:S)</f>
        <v>0</v>
      </c>
    </row>
    <row r="224" spans="1:3">
      <c r="A224" s="57" t="s">
        <v>411</v>
      </c>
      <c r="C224" s="62">
        <f>SUMIF(Produção!C:C,A224,Produção!S:S)</f>
        <v>0</v>
      </c>
    </row>
    <row r="225" spans="1:3">
      <c r="A225" s="58" t="s">
        <v>412</v>
      </c>
      <c r="C225" s="62">
        <f>SUMIF(Produção!C:C,A225,Produção!S:S)</f>
        <v>0</v>
      </c>
    </row>
    <row r="226" spans="1:3">
      <c r="A226" s="57" t="s">
        <v>413</v>
      </c>
      <c r="C226" s="62">
        <f>SUMIF(Produção!C:C,A226,Produção!S:S)</f>
        <v>0</v>
      </c>
    </row>
    <row r="227" spans="1:3">
      <c r="A227" s="58" t="s">
        <v>414</v>
      </c>
      <c r="C227" s="62">
        <f>SUMIF(Produção!C:C,A227,Produção!S:S)</f>
        <v>0</v>
      </c>
    </row>
    <row r="228" spans="1:3">
      <c r="A228" s="57" t="s">
        <v>415</v>
      </c>
      <c r="C228" s="62">
        <f>SUMIF(Produção!C:C,A228,Produção!S:S)</f>
        <v>0</v>
      </c>
    </row>
    <row r="229" spans="1:3">
      <c r="A229" s="58" t="s">
        <v>416</v>
      </c>
      <c r="C229" s="62">
        <f>SUMIF(Produção!C:C,A229,Produção!S:S)</f>
        <v>0</v>
      </c>
    </row>
    <row r="230" spans="1:3">
      <c r="A230" s="57" t="s">
        <v>417</v>
      </c>
      <c r="C230" s="62">
        <f>SUMIF(Produção!C:C,A230,Produção!S:S)</f>
        <v>0</v>
      </c>
    </row>
    <row r="231" spans="1:3">
      <c r="A231" s="58" t="s">
        <v>418</v>
      </c>
      <c r="C231" s="62">
        <f>SUMIF(Produção!C:C,A231,Produção!S:S)</f>
        <v>0</v>
      </c>
    </row>
    <row r="232" spans="1:3">
      <c r="A232" s="57" t="s">
        <v>419</v>
      </c>
      <c r="C232" s="62">
        <f>SUMIF(Produção!C:C,A232,Produção!S:S)</f>
        <v>0</v>
      </c>
    </row>
    <row r="233" spans="1:3">
      <c r="A233" s="58" t="s">
        <v>420</v>
      </c>
      <c r="C233" s="62">
        <f>SUMIF(Produção!C:C,A233,Produção!S:S)</f>
        <v>0</v>
      </c>
    </row>
    <row r="234" spans="1:3">
      <c r="A234" s="57" t="s">
        <v>421</v>
      </c>
      <c r="C234" s="62">
        <f>SUMIF(Produção!C:C,A234,Produção!S:S)</f>
        <v>0</v>
      </c>
    </row>
    <row r="235" spans="1:3">
      <c r="A235" s="58" t="s">
        <v>422</v>
      </c>
      <c r="C235" s="62">
        <f>SUMIF(Produção!C:C,A235,Produção!S:S)</f>
        <v>0</v>
      </c>
    </row>
    <row r="236" spans="1:3">
      <c r="A236" s="57" t="s">
        <v>423</v>
      </c>
      <c r="C236" s="62">
        <f>SUMIF(Produção!C:C,A236,Produção!S:S)</f>
        <v>0</v>
      </c>
    </row>
    <row r="237" spans="1:3">
      <c r="A237" s="58" t="s">
        <v>424</v>
      </c>
      <c r="C237" s="62">
        <f>SUMIF(Produção!C:C,A237,Produção!S:S)</f>
        <v>0</v>
      </c>
    </row>
    <row r="238" spans="1:3">
      <c r="A238" s="57" t="s">
        <v>425</v>
      </c>
      <c r="C238" s="62">
        <f>SUMIF(Produção!C:C,A238,Produção!S:S)</f>
        <v>0</v>
      </c>
    </row>
    <row r="239" spans="1:3">
      <c r="A239" s="58" t="s">
        <v>426</v>
      </c>
      <c r="C239" s="62">
        <f>SUMIF(Produção!C:C,A239,Produção!S:S)</f>
        <v>0</v>
      </c>
    </row>
    <row r="240" spans="1:3">
      <c r="A240" s="57" t="s">
        <v>427</v>
      </c>
      <c r="C240" s="62">
        <f>SUMIF(Produção!C:C,A240,Produção!S:S)</f>
        <v>0</v>
      </c>
    </row>
    <row r="241" spans="1:3">
      <c r="A241" s="58" t="s">
        <v>428</v>
      </c>
      <c r="C241" s="62">
        <f>SUMIF(Produção!C:C,A241,Produção!S:S)</f>
        <v>0</v>
      </c>
    </row>
    <row r="242" spans="1:3">
      <c r="A242" s="57" t="s">
        <v>429</v>
      </c>
      <c r="C242" s="62">
        <f>SUMIF(Produção!C:C,A242,Produção!S:S)</f>
        <v>0</v>
      </c>
    </row>
    <row r="243" spans="1:3">
      <c r="A243" s="58" t="s">
        <v>430</v>
      </c>
      <c r="C243" s="62">
        <f>SUMIF(Produção!C:C,A243,Produção!S:S)</f>
        <v>0</v>
      </c>
    </row>
    <row r="244" spans="1:3">
      <c r="A244" s="57" t="s">
        <v>431</v>
      </c>
      <c r="C244" s="62">
        <f>SUMIF(Produção!C:C,A244,Produção!S:S)</f>
        <v>0</v>
      </c>
    </row>
    <row r="245" spans="1:3">
      <c r="A245" s="58" t="s">
        <v>432</v>
      </c>
      <c r="C245" s="62">
        <f>SUMIF(Produção!C:C,A245,Produção!S:S)</f>
        <v>0</v>
      </c>
    </row>
    <row r="246" spans="1:3">
      <c r="A246" s="57" t="s">
        <v>433</v>
      </c>
      <c r="C246" s="62">
        <f>SUMIF(Produção!C:C,A246,Produção!S:S)</f>
        <v>0</v>
      </c>
    </row>
    <row r="247" spans="1:3">
      <c r="A247" s="58" t="s">
        <v>434</v>
      </c>
      <c r="C247" s="62">
        <f>SUMIF(Produção!C:C,A247,Produção!S:S)</f>
        <v>0</v>
      </c>
    </row>
    <row r="248" spans="1:3">
      <c r="A248" s="57" t="s">
        <v>435</v>
      </c>
      <c r="C248" s="62">
        <f>SUMIF(Produção!C:C,A248,Produção!S:S)</f>
        <v>0</v>
      </c>
    </row>
    <row r="249" spans="1:3">
      <c r="A249" s="58" t="s">
        <v>436</v>
      </c>
      <c r="C249" s="62">
        <f>SUMIF(Produção!C:C,A249,Produção!S:S)</f>
        <v>0</v>
      </c>
    </row>
    <row r="250" spans="1:3">
      <c r="A250" s="57" t="s">
        <v>437</v>
      </c>
      <c r="C250" s="62">
        <f>SUMIF(Produção!C:C,A250,Produção!S:S)</f>
        <v>0</v>
      </c>
    </row>
    <row r="251" spans="1:3">
      <c r="A251" s="58" t="s">
        <v>438</v>
      </c>
      <c r="C251" s="62">
        <f>SUMIF(Produção!C:C,A251,Produção!S:S)</f>
        <v>0</v>
      </c>
    </row>
    <row r="252" spans="1:3">
      <c r="A252" s="57" t="s">
        <v>439</v>
      </c>
      <c r="C252" s="62">
        <f>SUMIF(Produção!C:C,A252,Produção!S:S)</f>
        <v>0</v>
      </c>
    </row>
    <row r="253" spans="1:3">
      <c r="A253" s="58" t="s">
        <v>440</v>
      </c>
      <c r="C253" s="62">
        <f>SUMIF(Produção!C:C,A253,Produção!S:S)</f>
        <v>0</v>
      </c>
    </row>
    <row r="254" spans="1:3">
      <c r="A254" s="57" t="s">
        <v>441</v>
      </c>
      <c r="C254" s="62">
        <f>SUMIF(Produção!C:C,A254,Produção!S:S)</f>
        <v>0</v>
      </c>
    </row>
    <row r="255" spans="1:3">
      <c r="A255" s="58" t="s">
        <v>442</v>
      </c>
      <c r="C255" s="62">
        <f>SUMIF(Produção!C:C,A255,Produção!S:S)</f>
        <v>0</v>
      </c>
    </row>
    <row r="256" spans="1:3">
      <c r="A256" s="57" t="s">
        <v>443</v>
      </c>
      <c r="C256" s="62">
        <f>SUMIF(Produção!C:C,A256,Produção!S:S)</f>
        <v>0</v>
      </c>
    </row>
    <row r="257" spans="1:3">
      <c r="A257" s="58" t="s">
        <v>444</v>
      </c>
      <c r="C257" s="62">
        <f>SUMIF(Produção!C:C,A257,Produção!S:S)</f>
        <v>0</v>
      </c>
    </row>
    <row r="258" spans="1:3">
      <c r="A258" s="57" t="s">
        <v>445</v>
      </c>
      <c r="C258" s="62">
        <f>SUMIF(Produção!C:C,A258,Produção!S:S)</f>
        <v>0</v>
      </c>
    </row>
    <row r="259" spans="1:3">
      <c r="A259" s="58" t="s">
        <v>446</v>
      </c>
      <c r="C259" s="62">
        <f>SUMIF(Produção!C:C,A259,Produção!S:S)</f>
        <v>0</v>
      </c>
    </row>
    <row r="260" spans="1:3">
      <c r="A260" s="57" t="s">
        <v>447</v>
      </c>
      <c r="C260" s="62">
        <f>SUMIF(Produção!C:C,A260,Produção!S:S)</f>
        <v>0</v>
      </c>
    </row>
    <row r="261" spans="1:3">
      <c r="A261" s="58" t="s">
        <v>448</v>
      </c>
      <c r="C261" s="62">
        <f>SUMIF(Produção!C:C,A261,Produção!S:S)</f>
        <v>0</v>
      </c>
    </row>
    <row r="262" spans="1:3">
      <c r="A262" s="57" t="s">
        <v>449</v>
      </c>
      <c r="C262" s="62">
        <f>SUMIF(Produção!C:C,A262,Produção!S:S)</f>
        <v>0</v>
      </c>
    </row>
    <row r="263" spans="1:3">
      <c r="A263" s="58" t="s">
        <v>450</v>
      </c>
      <c r="C263" s="62">
        <f>SUMIF(Produção!C:C,A263,Produção!S:S)</f>
        <v>0</v>
      </c>
    </row>
    <row r="264" spans="1:3">
      <c r="A264" s="57" t="s">
        <v>451</v>
      </c>
      <c r="C264" s="62">
        <f>SUMIF(Produção!C:C,A264,Produção!S:S)</f>
        <v>0</v>
      </c>
    </row>
    <row r="265" spans="1:3">
      <c r="A265" s="58" t="s">
        <v>452</v>
      </c>
      <c r="C265" s="62">
        <f>SUMIF(Produção!C:C,A265,Produção!S:S)</f>
        <v>0</v>
      </c>
    </row>
    <row r="266" spans="1:3">
      <c r="A266" s="57" t="s">
        <v>453</v>
      </c>
      <c r="C266" s="62">
        <f>SUMIF(Produção!C:C,A266,Produção!S:S)</f>
        <v>0</v>
      </c>
    </row>
    <row r="267" spans="1:3">
      <c r="A267" s="58" t="s">
        <v>454</v>
      </c>
      <c r="C267" s="62">
        <f>SUMIF(Produção!C:C,A267,Produção!S:S)</f>
        <v>0</v>
      </c>
    </row>
    <row r="268" spans="1:3">
      <c r="A268" s="57" t="s">
        <v>455</v>
      </c>
      <c r="C268" s="62">
        <f>SUMIF(Produção!C:C,A268,Produção!S:S)</f>
        <v>0</v>
      </c>
    </row>
    <row r="269" spans="1:3">
      <c r="A269" s="58" t="s">
        <v>456</v>
      </c>
      <c r="C269" s="62">
        <f>SUMIF(Produção!C:C,A269,Produção!S:S)</f>
        <v>0</v>
      </c>
    </row>
    <row r="270" spans="1:3">
      <c r="A270" s="57" t="s">
        <v>457</v>
      </c>
      <c r="C270" s="62">
        <f>SUMIF(Produção!C:C,A270,Produção!S:S)</f>
        <v>0</v>
      </c>
    </row>
    <row r="271" spans="1:3">
      <c r="A271" s="58" t="s">
        <v>458</v>
      </c>
      <c r="C271" s="62">
        <f>SUMIF(Produção!C:C,A271,Produção!S:S)</f>
        <v>0</v>
      </c>
    </row>
    <row r="272" spans="1:3">
      <c r="A272" s="57" t="s">
        <v>459</v>
      </c>
      <c r="C272" s="62">
        <f>SUMIF(Produção!C:C,A272,Produção!S:S)</f>
        <v>0</v>
      </c>
    </row>
    <row r="273" spans="1:3">
      <c r="A273" s="58" t="s">
        <v>460</v>
      </c>
      <c r="C273" s="62">
        <f>SUMIF(Produção!C:C,A273,Produção!S:S)</f>
        <v>0</v>
      </c>
    </row>
    <row r="274" spans="1:3">
      <c r="A274" s="57" t="s">
        <v>461</v>
      </c>
      <c r="C274" s="62">
        <f>SUMIF(Produção!C:C,A274,Produção!S:S)</f>
        <v>0</v>
      </c>
    </row>
    <row r="275" spans="1:3">
      <c r="A275" s="58" t="s">
        <v>462</v>
      </c>
      <c r="C275" s="62">
        <f>SUMIF(Produção!C:C,A275,Produção!S:S)</f>
        <v>0</v>
      </c>
    </row>
    <row r="276" spans="1:3">
      <c r="A276" s="57" t="s">
        <v>463</v>
      </c>
      <c r="C276" s="62">
        <f>SUMIF(Produção!C:C,A276,Produção!S:S)</f>
        <v>0</v>
      </c>
    </row>
    <row r="277" spans="1:3">
      <c r="A277" s="58" t="s">
        <v>464</v>
      </c>
      <c r="C277" s="62">
        <f>SUMIF(Produção!C:C,A277,Produção!S:S)</f>
        <v>0</v>
      </c>
    </row>
    <row r="278" spans="1:3">
      <c r="A278" s="57" t="s">
        <v>465</v>
      </c>
      <c r="C278" s="62">
        <f>SUMIF(Produção!C:C,A278,Produção!S:S)</f>
        <v>0</v>
      </c>
    </row>
    <row r="279" spans="1:3">
      <c r="A279" s="58" t="s">
        <v>466</v>
      </c>
      <c r="C279" s="62">
        <f>SUMIF(Produção!C:C,A279,Produção!S:S)</f>
        <v>0</v>
      </c>
    </row>
    <row r="280" spans="1:3">
      <c r="A280" s="57" t="s">
        <v>467</v>
      </c>
      <c r="C280" s="62">
        <f>SUMIF(Produção!C:C,A280,Produção!S:S)</f>
        <v>0</v>
      </c>
    </row>
    <row r="281" spans="1:3">
      <c r="A281" s="58" t="s">
        <v>468</v>
      </c>
      <c r="C281" s="62">
        <f>SUMIF(Produção!C:C,A281,Produção!S:S)</f>
        <v>0</v>
      </c>
    </row>
    <row r="282" spans="1:3">
      <c r="A282" s="57" t="s">
        <v>469</v>
      </c>
      <c r="C282" s="62">
        <f>SUMIF(Produção!C:C,A282,Produção!S:S)</f>
        <v>0</v>
      </c>
    </row>
    <row r="283" spans="1:3">
      <c r="A283" s="58" t="s">
        <v>470</v>
      </c>
      <c r="C283" s="62">
        <f>SUMIF(Produção!C:C,A283,Produção!S:S)</f>
        <v>0</v>
      </c>
    </row>
    <row r="284" spans="1:3">
      <c r="A284" s="57" t="s">
        <v>471</v>
      </c>
      <c r="C284" s="62">
        <f>SUMIF(Produção!C:C,A284,Produção!S:S)</f>
        <v>0</v>
      </c>
    </row>
    <row r="285" spans="1:3">
      <c r="A285" s="58" t="s">
        <v>472</v>
      </c>
      <c r="C285" s="62">
        <f>SUMIF(Produção!C:C,A285,Produção!S:S)</f>
        <v>0</v>
      </c>
    </row>
    <row r="286" spans="1:3">
      <c r="A286" s="57" t="s">
        <v>473</v>
      </c>
      <c r="C286" s="62">
        <f>SUMIF(Produção!C:C,A286,Produção!S:S)</f>
        <v>0</v>
      </c>
    </row>
    <row r="287" spans="1:3">
      <c r="A287" s="58" t="s">
        <v>474</v>
      </c>
      <c r="C287" s="62">
        <f>SUMIF(Produção!C:C,A287,Produção!S:S)</f>
        <v>0</v>
      </c>
    </row>
    <row r="288" spans="1:3">
      <c r="A288" s="57" t="s">
        <v>475</v>
      </c>
      <c r="C288" s="62">
        <f>SUMIF(Produção!C:C,A288,Produção!S:S)</f>
        <v>0</v>
      </c>
    </row>
    <row r="289" spans="1:3">
      <c r="A289" s="58" t="s">
        <v>476</v>
      </c>
      <c r="C289" s="62">
        <f>SUMIF(Produção!C:C,A289,Produção!S:S)</f>
        <v>0</v>
      </c>
    </row>
    <row r="290" spans="1:3">
      <c r="A290" s="57" t="s">
        <v>477</v>
      </c>
      <c r="C290" s="62">
        <f>SUMIF(Produção!C:C,A290,Produção!S:S)</f>
        <v>0</v>
      </c>
    </row>
    <row r="291" spans="1:3">
      <c r="A291" s="58" t="s">
        <v>478</v>
      </c>
      <c r="C291" s="62">
        <f>SUMIF(Produção!C:C,A291,Produção!S:S)</f>
        <v>0</v>
      </c>
    </row>
    <row r="292" spans="1:3">
      <c r="A292" s="57" t="s">
        <v>479</v>
      </c>
      <c r="C292" s="62">
        <f>SUMIF(Produção!C:C,A292,Produção!S:S)</f>
        <v>0</v>
      </c>
    </row>
    <row r="293" spans="1:3">
      <c r="A293" s="58" t="s">
        <v>480</v>
      </c>
      <c r="C293" s="62">
        <f>SUMIF(Produção!C:C,A293,Produção!S:S)</f>
        <v>0</v>
      </c>
    </row>
    <row r="294" spans="1:3">
      <c r="A294" s="57" t="s">
        <v>481</v>
      </c>
      <c r="C294" s="62">
        <f>SUMIF(Produção!C:C,A294,Produção!S:S)</f>
        <v>0</v>
      </c>
    </row>
    <row r="295" spans="1:3">
      <c r="A295" s="58" t="s">
        <v>482</v>
      </c>
      <c r="C295" s="62">
        <f>SUMIF(Produção!C:C,A295,Produção!S:S)</f>
        <v>0</v>
      </c>
    </row>
    <row r="296" spans="1:3">
      <c r="A296" s="57" t="s">
        <v>483</v>
      </c>
      <c r="C296" s="62">
        <f>SUMIF(Produção!C:C,A296,Produção!S:S)</f>
        <v>0</v>
      </c>
    </row>
    <row r="297" spans="1:3">
      <c r="A297" s="58" t="s">
        <v>484</v>
      </c>
      <c r="C297" s="62">
        <f>SUMIF(Produção!C:C,A297,Produção!S:S)</f>
        <v>0</v>
      </c>
    </row>
    <row r="298" spans="1:3">
      <c r="A298" s="57" t="s">
        <v>485</v>
      </c>
      <c r="C298" s="62">
        <f>SUMIF(Produção!C:C,A298,Produção!S:S)</f>
        <v>0</v>
      </c>
    </row>
    <row r="299" spans="1:3">
      <c r="A299" s="58" t="s">
        <v>486</v>
      </c>
      <c r="C299" s="62">
        <f>SUMIF(Produção!C:C,A299,Produção!S:S)</f>
        <v>0</v>
      </c>
    </row>
    <row r="300" spans="1:3">
      <c r="A300" s="57" t="s">
        <v>487</v>
      </c>
      <c r="C300" s="62">
        <f>SUMIF(Produção!C:C,A300,Produção!S:S)</f>
        <v>0</v>
      </c>
    </row>
    <row r="301" spans="1:3">
      <c r="A301" s="58" t="s">
        <v>488</v>
      </c>
      <c r="C301" s="62">
        <f>SUMIF(Produção!C:C,A301,Produção!S:S)</f>
        <v>0</v>
      </c>
    </row>
    <row r="302" spans="1:3">
      <c r="A302" s="57" t="s">
        <v>489</v>
      </c>
      <c r="C302" s="62">
        <f>SUMIF(Produção!C:C,A302,Produção!S:S)</f>
        <v>0</v>
      </c>
    </row>
    <row r="303" spans="1:3">
      <c r="A303" s="58" t="s">
        <v>490</v>
      </c>
      <c r="C303" s="62">
        <f>SUMIF(Produção!C:C,A303,Produção!S:S)</f>
        <v>0</v>
      </c>
    </row>
    <row r="304" spans="1:3">
      <c r="A304" s="57" t="s">
        <v>491</v>
      </c>
      <c r="C304" s="62">
        <f>SUMIF(Produção!C:C,A304,Produção!S:S)</f>
        <v>0</v>
      </c>
    </row>
    <row r="305" spans="1:3">
      <c r="A305" s="58" t="s">
        <v>492</v>
      </c>
      <c r="C305" s="62">
        <f>SUMIF(Produção!C:C,A305,Produção!S:S)</f>
        <v>0</v>
      </c>
    </row>
    <row r="306" spans="1:3">
      <c r="A306" s="57" t="s">
        <v>493</v>
      </c>
      <c r="C306" s="62">
        <f>SUMIF(Produção!C:C,A306,Produção!S:S)</f>
        <v>0</v>
      </c>
    </row>
    <row r="307" spans="1:3">
      <c r="A307" s="58" t="s">
        <v>494</v>
      </c>
      <c r="C307" s="62">
        <f>SUMIF(Produção!C:C,A307,Produção!S:S)</f>
        <v>0</v>
      </c>
    </row>
    <row r="308" spans="1:3">
      <c r="A308" s="57" t="s">
        <v>495</v>
      </c>
      <c r="C308" s="62">
        <f>SUMIF(Produção!C:C,A308,Produção!S:S)</f>
        <v>0</v>
      </c>
    </row>
    <row r="309" spans="1:3">
      <c r="A309" s="58" t="s">
        <v>496</v>
      </c>
      <c r="C309" s="62">
        <f>SUMIF(Produção!C:C,A309,Produção!S:S)</f>
        <v>0</v>
      </c>
    </row>
    <row r="310" spans="1:3">
      <c r="A310" s="57" t="s">
        <v>497</v>
      </c>
      <c r="C310" s="62">
        <f>SUMIF(Produção!C:C,A310,Produção!S:S)</f>
        <v>0</v>
      </c>
    </row>
    <row r="311" spans="1:3">
      <c r="A311" s="58" t="s">
        <v>498</v>
      </c>
      <c r="C311" s="62">
        <f>SUMIF(Produção!C:C,A311,Produção!S:S)</f>
        <v>0</v>
      </c>
    </row>
    <row r="312" spans="1:3">
      <c r="A312" s="57" t="s">
        <v>499</v>
      </c>
      <c r="C312" s="62">
        <f>SUMIF(Produção!C:C,A312,Produção!S:S)</f>
        <v>0</v>
      </c>
    </row>
    <row r="313" spans="1:3">
      <c r="A313" s="58" t="s">
        <v>500</v>
      </c>
      <c r="C313" s="62">
        <f>SUMIF(Produção!C:C,A313,Produção!S:S)</f>
        <v>0</v>
      </c>
    </row>
    <row r="314" spans="1:3">
      <c r="A314" s="57" t="s">
        <v>501</v>
      </c>
      <c r="C314" s="62">
        <f>SUMIF(Produção!C:C,A314,Produção!S:S)</f>
        <v>0</v>
      </c>
    </row>
    <row r="315" spans="1:3">
      <c r="A315" s="58" t="s">
        <v>502</v>
      </c>
      <c r="C315" s="62">
        <f>SUMIF(Produção!C:C,A315,Produção!S:S)</f>
        <v>0</v>
      </c>
    </row>
    <row r="316" spans="1:3">
      <c r="A316" s="57" t="s">
        <v>503</v>
      </c>
      <c r="C316" s="62">
        <f>SUMIF(Produção!C:C,A316,Produção!S:S)</f>
        <v>0</v>
      </c>
    </row>
    <row r="317" spans="1:3">
      <c r="A317" s="58" t="s">
        <v>504</v>
      </c>
      <c r="C317" s="62">
        <f>SUMIF(Produção!C:C,A317,Produção!S:S)</f>
        <v>0</v>
      </c>
    </row>
    <row r="318" spans="1:3">
      <c r="A318" s="57" t="s">
        <v>505</v>
      </c>
      <c r="C318" s="62">
        <f>SUMIF(Produção!C:C,A318,Produção!S:S)</f>
        <v>0</v>
      </c>
    </row>
    <row r="319" spans="1:3">
      <c r="A319" s="58" t="s">
        <v>506</v>
      </c>
      <c r="C319" s="62">
        <f>SUMIF(Produção!C:C,A319,Produção!S:S)</f>
        <v>0</v>
      </c>
    </row>
    <row r="320" spans="1:3">
      <c r="A320" s="57" t="s">
        <v>507</v>
      </c>
      <c r="C320" s="62">
        <f>SUMIF(Produção!C:C,A320,Produção!S:S)</f>
        <v>0</v>
      </c>
    </row>
    <row r="321" spans="1:3">
      <c r="A321" s="58" t="s">
        <v>508</v>
      </c>
      <c r="C321" s="62">
        <f>SUMIF(Produção!C:C,A321,Produção!S:S)</f>
        <v>0</v>
      </c>
    </row>
    <row r="322" spans="1:3">
      <c r="A322" s="57" t="s">
        <v>509</v>
      </c>
      <c r="C322" s="62">
        <f>SUMIF(Produção!C:C,A322,Produção!S:S)</f>
        <v>0</v>
      </c>
    </row>
    <row r="323" spans="1:3">
      <c r="A323" s="58" t="s">
        <v>510</v>
      </c>
      <c r="C323" s="62">
        <f>SUMIF(Produção!C:C,A323,Produção!S:S)</f>
        <v>0</v>
      </c>
    </row>
    <row r="324" spans="1:3">
      <c r="A324" s="57" t="s">
        <v>511</v>
      </c>
      <c r="C324" s="62">
        <f>SUMIF(Produção!C:C,A324,Produção!S:S)</f>
        <v>0</v>
      </c>
    </row>
    <row r="325" spans="1:3">
      <c r="A325" s="58" t="s">
        <v>512</v>
      </c>
      <c r="C325" s="62">
        <f>SUMIF(Produção!C:C,A325,Produção!S:S)</f>
        <v>0</v>
      </c>
    </row>
    <row r="326" spans="1:3">
      <c r="A326" s="57" t="s">
        <v>513</v>
      </c>
      <c r="C326" s="62">
        <f>SUMIF(Produção!C:C,A326,Produção!S:S)</f>
        <v>0</v>
      </c>
    </row>
    <row r="327" spans="1:3">
      <c r="A327" s="58" t="s">
        <v>514</v>
      </c>
      <c r="C327" s="62">
        <f>SUMIF(Produção!C:C,A327,Produção!S:S)</f>
        <v>0</v>
      </c>
    </row>
    <row r="328" spans="1:3">
      <c r="A328" s="57" t="s">
        <v>515</v>
      </c>
      <c r="C328" s="62">
        <f>SUMIF(Produção!C:C,A328,Produção!S:S)</f>
        <v>0</v>
      </c>
    </row>
    <row r="329" spans="1:3">
      <c r="A329" s="58" t="s">
        <v>516</v>
      </c>
      <c r="C329" s="62">
        <f>SUMIF(Produção!C:C,A329,Produção!S:S)</f>
        <v>0</v>
      </c>
    </row>
    <row r="330" spans="1:3">
      <c r="A330" s="57" t="s">
        <v>517</v>
      </c>
      <c r="C330" s="62">
        <f>SUMIF(Produção!C:C,A330,Produção!S:S)</f>
        <v>0</v>
      </c>
    </row>
    <row r="331" spans="1:3">
      <c r="A331" s="58" t="s">
        <v>518</v>
      </c>
      <c r="C331" s="62">
        <f>SUMIF(Produção!C:C,A331,Produção!S:S)</f>
        <v>0</v>
      </c>
    </row>
    <row r="332" spans="1:3">
      <c r="A332" s="57" t="s">
        <v>519</v>
      </c>
      <c r="C332" s="62">
        <f>SUMIF(Produção!C:C,A332,Produção!S:S)</f>
        <v>0</v>
      </c>
    </row>
    <row r="333" spans="1:3">
      <c r="A333" s="58" t="s">
        <v>519</v>
      </c>
      <c r="C333" s="62">
        <f>SUMIF(Produção!C:C,A333,Produção!S:S)</f>
        <v>0</v>
      </c>
    </row>
    <row r="334" spans="1:3">
      <c r="A334" s="57" t="s">
        <v>520</v>
      </c>
      <c r="C334" s="62">
        <f>SUMIF(Produção!C:C,A334,Produção!S:S)</f>
        <v>0</v>
      </c>
    </row>
    <row r="335" spans="1:3">
      <c r="A335" s="58" t="s">
        <v>521</v>
      </c>
      <c r="C335" s="62">
        <f>SUMIF(Produção!C:C,A335,Produção!S:S)</f>
        <v>0</v>
      </c>
    </row>
    <row r="336" spans="1:3">
      <c r="A336" s="57" t="s">
        <v>522</v>
      </c>
      <c r="C336" s="62">
        <f>SUMIF(Produção!C:C,A336,Produção!S:S)</f>
        <v>0</v>
      </c>
    </row>
    <row r="337" spans="1:3">
      <c r="A337" s="58" t="s">
        <v>523</v>
      </c>
      <c r="C337" s="62">
        <f>SUMIF(Produção!C:C,A337,Produção!S:S)</f>
        <v>0</v>
      </c>
    </row>
    <row r="338" spans="1:3">
      <c r="A338" s="57" t="s">
        <v>524</v>
      </c>
      <c r="C338" s="62">
        <f>SUMIF(Produção!C:C,A338,Produção!S:S)</f>
        <v>0</v>
      </c>
    </row>
    <row r="339" spans="1:3">
      <c r="A339" s="58" t="s">
        <v>525</v>
      </c>
      <c r="C339" s="62">
        <f>SUMIF(Produção!C:C,A339,Produção!S:S)</f>
        <v>0</v>
      </c>
    </row>
    <row r="340" spans="1:3">
      <c r="A340" s="57" t="s">
        <v>526</v>
      </c>
      <c r="C340" s="62">
        <f>SUMIF(Produção!C:C,A340,Produção!S:S)</f>
        <v>0</v>
      </c>
    </row>
    <row r="341" spans="1:3">
      <c r="A341" s="58" t="s">
        <v>527</v>
      </c>
      <c r="C341" s="62">
        <f>SUMIF(Produção!C:C,A341,Produção!S:S)</f>
        <v>0</v>
      </c>
    </row>
    <row r="342" spans="1:3">
      <c r="A342" s="57" t="s">
        <v>528</v>
      </c>
      <c r="C342" s="62">
        <f>SUMIF(Produção!C:C,A342,Produção!S:S)</f>
        <v>0</v>
      </c>
    </row>
    <row r="343" spans="1:3">
      <c r="A343" s="58" t="s">
        <v>529</v>
      </c>
      <c r="C343" s="62">
        <f>SUMIF(Produção!C:C,A343,Produção!S:S)</f>
        <v>0</v>
      </c>
    </row>
    <row r="344" spans="1:3">
      <c r="A344" s="57" t="s">
        <v>530</v>
      </c>
      <c r="C344" s="62">
        <f>SUMIF(Produção!C:C,A344,Produção!S:S)</f>
        <v>0</v>
      </c>
    </row>
    <row r="345" spans="1:3">
      <c r="A345" s="58" t="s">
        <v>531</v>
      </c>
      <c r="C345" s="62">
        <f>SUMIF(Produção!C:C,A345,Produção!S:S)</f>
        <v>0</v>
      </c>
    </row>
    <row r="346" spans="1:3">
      <c r="A346" s="57" t="s">
        <v>532</v>
      </c>
      <c r="C346" s="62">
        <f>SUMIF(Produção!C:C,A346,Produção!S:S)</f>
        <v>0</v>
      </c>
    </row>
    <row r="347" spans="1:3">
      <c r="A347" s="58" t="s">
        <v>533</v>
      </c>
      <c r="C347" s="62">
        <f>SUMIF(Produção!C:C,A347,Produção!S:S)</f>
        <v>0</v>
      </c>
    </row>
    <row r="348" spans="1:3">
      <c r="A348" s="57" t="s">
        <v>534</v>
      </c>
      <c r="C348" s="62">
        <f>SUMIF(Produção!C:C,A348,Produção!S:S)</f>
        <v>0</v>
      </c>
    </row>
    <row r="349" spans="1:3">
      <c r="A349" s="58" t="s">
        <v>535</v>
      </c>
      <c r="C349" s="62">
        <f>SUMIF(Produção!C:C,A349,Produção!S:S)</f>
        <v>0</v>
      </c>
    </row>
    <row r="350" spans="1:3">
      <c r="A350" s="57" t="s">
        <v>536</v>
      </c>
      <c r="C350" s="62">
        <f>SUMIF(Produção!C:C,A350,Produção!S:S)</f>
        <v>0</v>
      </c>
    </row>
    <row r="351" spans="1:3">
      <c r="A351" s="58" t="s">
        <v>537</v>
      </c>
      <c r="C351" s="62">
        <f>SUMIF(Produção!C:C,A351,Produção!S:S)</f>
        <v>0</v>
      </c>
    </row>
    <row r="352" spans="1:3">
      <c r="A352" s="57" t="s">
        <v>538</v>
      </c>
      <c r="C352" s="62">
        <f>SUMIF(Produção!C:C,A352,Produção!S:S)</f>
        <v>0</v>
      </c>
    </row>
    <row r="353" spans="1:3">
      <c r="A353" s="58" t="s">
        <v>539</v>
      </c>
      <c r="C353" s="62">
        <f>SUMIF(Produção!C:C,A353,Produção!S:S)</f>
        <v>0</v>
      </c>
    </row>
    <row r="354" spans="1:3">
      <c r="A354" s="57" t="s">
        <v>540</v>
      </c>
      <c r="C354" s="62">
        <f>SUMIF(Produção!C:C,A354,Produção!S:S)</f>
        <v>0</v>
      </c>
    </row>
    <row r="355" spans="1:3">
      <c r="A355" s="58" t="s">
        <v>541</v>
      </c>
      <c r="C355" s="62">
        <f>SUMIF(Produção!C:C,A355,Produção!S:S)</f>
        <v>0</v>
      </c>
    </row>
    <row r="356" spans="1:3">
      <c r="A356" s="57" t="s">
        <v>542</v>
      </c>
      <c r="C356" s="62">
        <f>SUMIF(Produção!C:C,A356,Produção!S:S)</f>
        <v>0</v>
      </c>
    </row>
    <row r="357" spans="1:3">
      <c r="A357" s="58" t="s">
        <v>543</v>
      </c>
      <c r="C357" s="62">
        <f>SUMIF(Produção!C:C,A357,Produção!S:S)</f>
        <v>0</v>
      </c>
    </row>
    <row r="358" spans="1:3">
      <c r="A358" s="57" t="s">
        <v>544</v>
      </c>
      <c r="C358" s="62">
        <f>SUMIF(Produção!C:C,A358,Produção!S:S)</f>
        <v>0</v>
      </c>
    </row>
    <row r="359" spans="1:3">
      <c r="A359" s="58" t="s">
        <v>545</v>
      </c>
      <c r="C359" s="62">
        <f>SUMIF(Produção!C:C,A359,Produção!S:S)</f>
        <v>0</v>
      </c>
    </row>
    <row r="360" spans="1:3">
      <c r="A360" s="57" t="s">
        <v>546</v>
      </c>
      <c r="C360" s="62">
        <f>SUMIF(Produção!C:C,A360,Produção!S:S)</f>
        <v>0</v>
      </c>
    </row>
    <row r="361" spans="1:3">
      <c r="A361" s="58" t="s">
        <v>547</v>
      </c>
      <c r="C361" s="62">
        <f>SUMIF(Produção!C:C,A361,Produção!S:S)</f>
        <v>0</v>
      </c>
    </row>
    <row r="362" spans="1:3">
      <c r="A362" s="57" t="s">
        <v>548</v>
      </c>
      <c r="C362" s="62">
        <f>SUMIF(Produção!C:C,A362,Produção!S:S)</f>
        <v>0</v>
      </c>
    </row>
    <row r="363" spans="1:3">
      <c r="A363" s="58" t="s">
        <v>549</v>
      </c>
      <c r="C363" s="62">
        <f>SUMIF(Produção!C:C,A363,Produção!S:S)</f>
        <v>0</v>
      </c>
    </row>
    <row r="364" spans="1:3">
      <c r="A364" s="57" t="s">
        <v>550</v>
      </c>
      <c r="C364" s="62">
        <f>SUMIF(Produção!C:C,A364,Produção!S:S)</f>
        <v>0</v>
      </c>
    </row>
    <row r="365" spans="1:3">
      <c r="A365" s="58" t="s">
        <v>551</v>
      </c>
      <c r="C365" s="62">
        <f>SUMIF(Produção!C:C,A365,Produção!S:S)</f>
        <v>0</v>
      </c>
    </row>
    <row r="366" spans="1:3">
      <c r="A366" s="57" t="s">
        <v>552</v>
      </c>
      <c r="C366" s="62">
        <f>SUMIF(Produção!C:C,A366,Produção!S:S)</f>
        <v>0</v>
      </c>
    </row>
    <row r="367" spans="1:3">
      <c r="A367" s="58" t="s">
        <v>553</v>
      </c>
      <c r="C367" s="62">
        <f>SUMIF(Produção!C:C,A367,Produção!S:S)</f>
        <v>0</v>
      </c>
    </row>
    <row r="368" spans="1:3">
      <c r="A368" s="57" t="s">
        <v>554</v>
      </c>
      <c r="C368" s="62">
        <f>SUMIF(Produção!C:C,A368,Produção!S:S)</f>
        <v>0</v>
      </c>
    </row>
    <row r="369" spans="1:3">
      <c r="A369" s="58" t="s">
        <v>555</v>
      </c>
      <c r="C369" s="62">
        <f>SUMIF(Produção!C:C,A369,Produção!S:S)</f>
        <v>0</v>
      </c>
    </row>
    <row r="370" spans="1:3">
      <c r="A370" s="57" t="s">
        <v>556</v>
      </c>
      <c r="C370" s="62">
        <f>SUMIF(Produção!C:C,A370,Produção!S:S)</f>
        <v>0</v>
      </c>
    </row>
    <row r="371" spans="1:3">
      <c r="A371" s="58" t="s">
        <v>557</v>
      </c>
      <c r="C371" s="62">
        <f>SUMIF(Produção!C:C,A371,Produção!S:S)</f>
        <v>0</v>
      </c>
    </row>
    <row r="372" spans="1:3">
      <c r="A372" s="57" t="s">
        <v>558</v>
      </c>
      <c r="C372" s="62">
        <f>SUMIF(Produção!C:C,A372,Produção!S:S)</f>
        <v>0</v>
      </c>
    </row>
    <row r="373" spans="1:3">
      <c r="A373" s="58" t="s">
        <v>559</v>
      </c>
      <c r="C373" s="62">
        <f>SUMIF(Produção!C:C,A373,Produção!S:S)</f>
        <v>0</v>
      </c>
    </row>
    <row r="374" spans="1:3">
      <c r="A374" s="57" t="s">
        <v>560</v>
      </c>
      <c r="C374" s="62">
        <f>SUMIF(Produção!C:C,A374,Produção!S:S)</f>
        <v>0</v>
      </c>
    </row>
    <row r="375" spans="1:3">
      <c r="A375" s="58" t="s">
        <v>561</v>
      </c>
      <c r="C375" s="62">
        <f>SUMIF(Produção!C:C,A375,Produção!S:S)</f>
        <v>0</v>
      </c>
    </row>
    <row r="376" spans="1:3">
      <c r="A376" s="57" t="s">
        <v>562</v>
      </c>
      <c r="C376" s="62">
        <f>SUMIF(Produção!C:C,A376,Produção!S:S)</f>
        <v>0</v>
      </c>
    </row>
    <row r="377" spans="1:3">
      <c r="A377" s="58" t="s">
        <v>563</v>
      </c>
      <c r="C377" s="62">
        <f>SUMIF(Produção!C:C,A377,Produção!S:S)</f>
        <v>0</v>
      </c>
    </row>
    <row r="378" spans="1:3">
      <c r="A378" s="57" t="s">
        <v>564</v>
      </c>
      <c r="C378" s="62">
        <f>SUMIF(Produção!C:C,A378,Produção!S:S)</f>
        <v>0</v>
      </c>
    </row>
    <row r="379" spans="1:3">
      <c r="A379" s="58" t="s">
        <v>565</v>
      </c>
      <c r="C379" s="62">
        <f>SUMIF(Produção!C:C,A379,Produção!S:S)</f>
        <v>0</v>
      </c>
    </row>
    <row r="380" spans="1:3">
      <c r="A380" s="57" t="s">
        <v>566</v>
      </c>
      <c r="C380" s="62">
        <f>SUMIF(Produção!C:C,A380,Produção!S:S)</f>
        <v>0</v>
      </c>
    </row>
    <row r="381" spans="1:3">
      <c r="A381" s="58" t="s">
        <v>567</v>
      </c>
      <c r="C381" s="62">
        <f>SUMIF(Produção!C:C,A381,Produção!S:S)</f>
        <v>0</v>
      </c>
    </row>
    <row r="382" spans="1:3">
      <c r="A382" s="57" t="s">
        <v>568</v>
      </c>
      <c r="C382" s="62">
        <f>SUMIF(Produção!C:C,A382,Produção!S:S)</f>
        <v>0</v>
      </c>
    </row>
    <row r="383" spans="1:3">
      <c r="A383" s="58" t="s">
        <v>569</v>
      </c>
      <c r="C383" s="62">
        <f>SUMIF(Produção!C:C,A383,Produção!S:S)</f>
        <v>0</v>
      </c>
    </row>
    <row r="384" spans="1:3">
      <c r="A384" s="57" t="s">
        <v>570</v>
      </c>
      <c r="C384" s="62">
        <f>SUMIF(Produção!C:C,A384,Produção!S:S)</f>
        <v>0</v>
      </c>
    </row>
    <row r="385" spans="1:3">
      <c r="A385" s="58" t="s">
        <v>571</v>
      </c>
      <c r="C385" s="62">
        <f>SUMIF(Produção!C:C,A385,Produção!S:S)</f>
        <v>0</v>
      </c>
    </row>
    <row r="386" spans="1:3">
      <c r="A386" s="57" t="s">
        <v>572</v>
      </c>
      <c r="C386" s="62">
        <f>SUMIF(Produção!C:C,A386,Produção!S:S)</f>
        <v>0</v>
      </c>
    </row>
    <row r="387" spans="1:3">
      <c r="A387" s="58" t="s">
        <v>573</v>
      </c>
      <c r="C387" s="62">
        <f>SUMIF(Produção!C:C,A387,Produção!S:S)</f>
        <v>0</v>
      </c>
    </row>
    <row r="388" spans="1:3">
      <c r="A388" s="57" t="s">
        <v>573</v>
      </c>
      <c r="C388" s="62">
        <f>SUMIF(Produção!C:C,A388,Produção!S:S)</f>
        <v>0</v>
      </c>
    </row>
    <row r="389" spans="1:3">
      <c r="A389" s="58" t="s">
        <v>574</v>
      </c>
      <c r="C389" s="62">
        <f>SUMIF(Produção!C:C,A389,Produção!S:S)</f>
        <v>0</v>
      </c>
    </row>
    <row r="390" spans="1:3">
      <c r="A390" s="57" t="s">
        <v>575</v>
      </c>
      <c r="C390" s="62">
        <f>SUMIF(Produção!C:C,A390,Produção!S:S)</f>
        <v>0</v>
      </c>
    </row>
    <row r="391" spans="1:3">
      <c r="A391" s="58" t="s">
        <v>576</v>
      </c>
      <c r="C391" s="62">
        <f>SUMIF(Produção!C:C,A391,Produção!S:S)</f>
        <v>0</v>
      </c>
    </row>
    <row r="392" spans="1:3">
      <c r="A392" s="57" t="s">
        <v>577</v>
      </c>
      <c r="C392" s="62">
        <f>SUMIF(Produção!C:C,A392,Produção!S:S)</f>
        <v>0</v>
      </c>
    </row>
    <row r="393" spans="1:3">
      <c r="A393" s="58" t="s">
        <v>578</v>
      </c>
      <c r="C393" s="62">
        <f>SUMIF(Produção!C:C,A393,Produção!S:S)</f>
        <v>0</v>
      </c>
    </row>
    <row r="394" spans="1:3">
      <c r="A394" s="57" t="s">
        <v>579</v>
      </c>
      <c r="C394" s="62">
        <f>SUMIF(Produção!C:C,A394,Produção!S:S)</f>
        <v>0</v>
      </c>
    </row>
    <row r="395" spans="1:3">
      <c r="A395" s="58" t="s">
        <v>580</v>
      </c>
      <c r="C395" s="62">
        <f>SUMIF(Produção!C:C,A395,Produção!S:S)</f>
        <v>0</v>
      </c>
    </row>
    <row r="396" spans="1:3">
      <c r="A396" s="57" t="s">
        <v>581</v>
      </c>
      <c r="C396" s="62">
        <f>SUMIF(Produção!C:C,A396,Produção!S:S)</f>
        <v>0</v>
      </c>
    </row>
    <row r="397" spans="1:3">
      <c r="A397" s="58" t="s">
        <v>582</v>
      </c>
      <c r="C397" s="62">
        <f>SUMIF(Produção!C:C,A397,Produção!S:S)</f>
        <v>0</v>
      </c>
    </row>
    <row r="398" spans="1:3">
      <c r="A398" s="57" t="s">
        <v>583</v>
      </c>
      <c r="C398" s="62">
        <f>SUMIF(Produção!C:C,A398,Produção!S:S)</f>
        <v>0</v>
      </c>
    </row>
    <row r="399" spans="1:3">
      <c r="A399" s="58" t="s">
        <v>584</v>
      </c>
      <c r="C399" s="62">
        <f>SUMIF(Produção!C:C,A399,Produção!S:S)</f>
        <v>0</v>
      </c>
    </row>
    <row r="400" spans="1:3">
      <c r="A400" s="57" t="s">
        <v>585</v>
      </c>
      <c r="C400" s="62">
        <f>SUMIF(Produção!C:C,A400,Produção!S:S)</f>
        <v>0</v>
      </c>
    </row>
    <row r="401" spans="1:3">
      <c r="A401" s="58" t="s">
        <v>586</v>
      </c>
      <c r="C401" s="62">
        <f>SUMIF(Produção!C:C,A401,Produção!S:S)</f>
        <v>0</v>
      </c>
    </row>
    <row r="402" spans="1:3">
      <c r="A402" s="57" t="s">
        <v>587</v>
      </c>
      <c r="C402" s="62">
        <f>SUMIF(Produção!C:C,A402,Produção!S:S)</f>
        <v>0</v>
      </c>
    </row>
    <row r="403" spans="1:3">
      <c r="A403" s="58" t="s">
        <v>588</v>
      </c>
      <c r="C403" s="62">
        <f>SUMIF(Produção!C:C,A403,Produção!S:S)</f>
        <v>0</v>
      </c>
    </row>
    <row r="404" spans="1:3">
      <c r="A404" s="57" t="s">
        <v>589</v>
      </c>
      <c r="C404" s="62">
        <f>SUMIF(Produção!C:C,A404,Produção!S:S)</f>
        <v>0</v>
      </c>
    </row>
    <row r="405" spans="1:3">
      <c r="A405" s="58" t="s">
        <v>590</v>
      </c>
      <c r="C405" s="62">
        <f>SUMIF(Produção!C:C,A405,Produção!S:S)</f>
        <v>0</v>
      </c>
    </row>
    <row r="406" spans="1:3">
      <c r="A406" s="57" t="s">
        <v>591</v>
      </c>
      <c r="C406" s="62">
        <f>SUMIF(Produção!C:C,A406,Produção!S:S)</f>
        <v>0</v>
      </c>
    </row>
    <row r="407" spans="1:3">
      <c r="A407" s="58" t="s">
        <v>592</v>
      </c>
      <c r="C407" s="62">
        <f>SUMIF(Produção!C:C,A407,Produção!S:S)</f>
        <v>0</v>
      </c>
    </row>
    <row r="408" spans="1:3">
      <c r="A408" s="57" t="s">
        <v>593</v>
      </c>
      <c r="C408" s="62">
        <f>SUMIF(Produção!C:C,A408,Produção!S:S)</f>
        <v>0</v>
      </c>
    </row>
    <row r="409" spans="1:3">
      <c r="A409" s="58" t="s">
        <v>594</v>
      </c>
      <c r="C409" s="62">
        <f>SUMIF(Produção!C:C,A409,Produção!S:S)</f>
        <v>0</v>
      </c>
    </row>
    <row r="410" spans="1:3">
      <c r="A410" s="57" t="s">
        <v>595</v>
      </c>
      <c r="C410" s="62">
        <f>SUMIF(Produção!C:C,A410,Produção!S:S)</f>
        <v>0</v>
      </c>
    </row>
    <row r="411" spans="1:3">
      <c r="A411" s="58" t="s">
        <v>596</v>
      </c>
      <c r="C411" s="62">
        <f>SUMIF(Produção!C:C,A411,Produção!S:S)</f>
        <v>0</v>
      </c>
    </row>
    <row r="412" spans="1:3">
      <c r="A412" s="57" t="s">
        <v>597</v>
      </c>
      <c r="C412" s="62">
        <f>SUMIF(Produção!C:C,A412,Produção!S:S)</f>
        <v>0</v>
      </c>
    </row>
    <row r="413" spans="1:3">
      <c r="A413" s="58" t="s">
        <v>598</v>
      </c>
      <c r="C413" s="62">
        <f>SUMIF(Produção!C:C,A413,Produção!S:S)</f>
        <v>0</v>
      </c>
    </row>
    <row r="414" spans="1:3">
      <c r="A414" s="57" t="s">
        <v>599</v>
      </c>
      <c r="C414" s="62">
        <f>SUMIF(Produção!C:C,A414,Produção!S:S)</f>
        <v>0</v>
      </c>
    </row>
    <row r="415" spans="1:3">
      <c r="A415" s="58" t="s">
        <v>600</v>
      </c>
      <c r="C415" s="62">
        <f>SUMIF(Produção!C:C,A415,Produção!S:S)</f>
        <v>0</v>
      </c>
    </row>
    <row r="416" spans="1:3">
      <c r="A416" s="57" t="s">
        <v>601</v>
      </c>
      <c r="C416" s="62">
        <f>SUMIF(Produção!C:C,A416,Produção!S:S)</f>
        <v>0</v>
      </c>
    </row>
    <row r="417" spans="1:3">
      <c r="A417" s="58" t="s">
        <v>602</v>
      </c>
      <c r="C417" s="62">
        <f>SUMIF(Produção!C:C,A417,Produção!S:S)</f>
        <v>0</v>
      </c>
    </row>
    <row r="418" spans="1:3">
      <c r="A418" s="57" t="s">
        <v>603</v>
      </c>
      <c r="C418" s="62">
        <f>SUMIF(Produção!C:C,A418,Produção!S:S)</f>
        <v>0</v>
      </c>
    </row>
    <row r="419" spans="1:3">
      <c r="A419" s="58" t="s">
        <v>604</v>
      </c>
      <c r="C419" s="62">
        <f>SUMIF(Produção!C:C,A419,Produção!S:S)</f>
        <v>0</v>
      </c>
    </row>
    <row r="420" spans="1:3">
      <c r="A420" s="57" t="s">
        <v>605</v>
      </c>
      <c r="C420" s="62">
        <f>SUMIF(Produção!C:C,A420,Produção!S:S)</f>
        <v>0</v>
      </c>
    </row>
    <row r="421" spans="1:3">
      <c r="A421" s="58" t="s">
        <v>606</v>
      </c>
      <c r="C421" s="62">
        <f>SUMIF(Produção!C:C,A421,Produção!S:S)</f>
        <v>0</v>
      </c>
    </row>
    <row r="422" spans="1:3">
      <c r="A422" s="57" t="s">
        <v>607</v>
      </c>
      <c r="C422" s="62">
        <f>SUMIF(Produção!C:C,A422,Produção!S:S)</f>
        <v>0</v>
      </c>
    </row>
    <row r="423" spans="1:3">
      <c r="A423" s="58" t="s">
        <v>608</v>
      </c>
      <c r="C423" s="62">
        <f>SUMIF(Produção!C:C,A423,Produção!S:S)</f>
        <v>0</v>
      </c>
    </row>
    <row r="424" spans="1:3">
      <c r="A424" s="57" t="s">
        <v>609</v>
      </c>
      <c r="C424" s="62">
        <f>SUMIF(Produção!C:C,A424,Produção!S:S)</f>
        <v>0</v>
      </c>
    </row>
    <row r="425" spans="1:3">
      <c r="A425" s="58" t="s">
        <v>610</v>
      </c>
      <c r="C425" s="62">
        <f>SUMIF(Produção!C:C,A425,Produção!S:S)</f>
        <v>0</v>
      </c>
    </row>
    <row r="426" spans="1:3">
      <c r="A426" s="57" t="s">
        <v>611</v>
      </c>
      <c r="C426" s="62">
        <f>SUMIF(Produção!C:C,A426,Produção!S:S)</f>
        <v>0</v>
      </c>
    </row>
    <row r="427" spans="1:3">
      <c r="A427" s="58" t="s">
        <v>612</v>
      </c>
      <c r="C427" s="62">
        <f>SUMIF(Produção!C:C,A427,Produção!S:S)</f>
        <v>0</v>
      </c>
    </row>
    <row r="428" spans="1:3">
      <c r="A428" s="57" t="s">
        <v>613</v>
      </c>
      <c r="C428" s="62">
        <f>SUMIF(Produção!C:C,A428,Produção!S:S)</f>
        <v>0</v>
      </c>
    </row>
    <row r="429" spans="1:3">
      <c r="A429" s="58" t="s">
        <v>614</v>
      </c>
      <c r="C429" s="62">
        <f>SUMIF(Produção!C:C,A429,Produção!S:S)</f>
        <v>0</v>
      </c>
    </row>
    <row r="430" spans="1:3">
      <c r="A430" s="57" t="s">
        <v>615</v>
      </c>
      <c r="C430" s="62">
        <f>SUMIF(Produção!C:C,A430,Produção!S:S)</f>
        <v>0</v>
      </c>
    </row>
    <row r="431" spans="1:3">
      <c r="A431" s="58" t="s">
        <v>616</v>
      </c>
      <c r="C431" s="62">
        <f>SUMIF(Produção!C:C,A431,Produção!S:S)</f>
        <v>0</v>
      </c>
    </row>
    <row r="432" spans="1:3">
      <c r="A432" s="57" t="s">
        <v>617</v>
      </c>
      <c r="C432" s="62">
        <f>SUMIF(Produção!C:C,A432,Produção!S:S)</f>
        <v>0</v>
      </c>
    </row>
    <row r="433" spans="1:3">
      <c r="A433" s="58" t="s">
        <v>618</v>
      </c>
      <c r="C433" s="62">
        <f>SUMIF(Produção!C:C,A433,Produção!S:S)</f>
        <v>0</v>
      </c>
    </row>
    <row r="434" spans="1:3">
      <c r="A434" s="57" t="s">
        <v>619</v>
      </c>
      <c r="C434" s="62">
        <f>SUMIF(Produção!C:C,A434,Produção!S:S)</f>
        <v>0</v>
      </c>
    </row>
    <row r="435" spans="1:3">
      <c r="A435" s="58" t="s">
        <v>620</v>
      </c>
      <c r="C435" s="62">
        <f>SUMIF(Produção!C:C,A435,Produção!S:S)</f>
        <v>0</v>
      </c>
    </row>
    <row r="436" spans="1:3">
      <c r="A436" s="57" t="s">
        <v>621</v>
      </c>
      <c r="C436" s="62">
        <f>SUMIF(Produção!C:C,A436,Produção!S:S)</f>
        <v>0</v>
      </c>
    </row>
    <row r="437" spans="1:3">
      <c r="A437" s="58" t="s">
        <v>622</v>
      </c>
      <c r="C437" s="62">
        <f>SUMIF(Produção!C:C,A437,Produção!S:S)</f>
        <v>0</v>
      </c>
    </row>
    <row r="438" spans="1:3">
      <c r="A438" s="57" t="s">
        <v>623</v>
      </c>
      <c r="C438" s="62">
        <f>SUMIF(Produção!C:C,A438,Produção!S:S)</f>
        <v>0</v>
      </c>
    </row>
    <row r="439" spans="1:3">
      <c r="A439" s="58" t="s">
        <v>624</v>
      </c>
      <c r="C439" s="62">
        <f>SUMIF(Produção!C:C,A439,Produção!S:S)</f>
        <v>0</v>
      </c>
    </row>
    <row r="440" spans="1:3">
      <c r="A440" s="57" t="s">
        <v>625</v>
      </c>
      <c r="C440" s="62">
        <f>SUMIF(Produção!C:C,A440,Produção!S:S)</f>
        <v>0</v>
      </c>
    </row>
    <row r="441" spans="1:3">
      <c r="A441" s="58" t="s">
        <v>626</v>
      </c>
      <c r="C441" s="62">
        <f>SUMIF(Produção!C:C,A441,Produção!S:S)</f>
        <v>0</v>
      </c>
    </row>
    <row r="442" spans="1:3">
      <c r="A442" s="57" t="s">
        <v>627</v>
      </c>
      <c r="C442" s="62">
        <f>SUMIF(Produção!C:C,A442,Produção!S:S)</f>
        <v>0</v>
      </c>
    </row>
    <row r="443" spans="1:3">
      <c r="A443" s="58" t="s">
        <v>628</v>
      </c>
      <c r="C443" s="62">
        <f>SUMIF(Produção!C:C,A443,Produção!S:S)</f>
        <v>0</v>
      </c>
    </row>
    <row r="444" spans="1:3">
      <c r="A444" s="57" t="s">
        <v>629</v>
      </c>
      <c r="C444" s="62">
        <f>SUMIF(Produção!C:C,A444,Produção!S:S)</f>
        <v>0</v>
      </c>
    </row>
    <row r="445" spans="1:3">
      <c r="A445" s="58" t="s">
        <v>630</v>
      </c>
      <c r="C445" s="62">
        <f>SUMIF(Produção!C:C,A445,Produção!S:S)</f>
        <v>0</v>
      </c>
    </row>
    <row r="446" spans="1:3">
      <c r="A446" s="57" t="s">
        <v>631</v>
      </c>
      <c r="C446" s="62">
        <f>SUMIF(Produção!C:C,A446,Produção!S:S)</f>
        <v>0</v>
      </c>
    </row>
    <row r="447" spans="1:3">
      <c r="A447" s="58" t="s">
        <v>632</v>
      </c>
      <c r="C447" s="62">
        <f>SUMIF(Produção!C:C,A447,Produção!S:S)</f>
        <v>0</v>
      </c>
    </row>
    <row r="448" spans="1:3">
      <c r="A448" s="57" t="s">
        <v>633</v>
      </c>
      <c r="C448" s="62">
        <f>SUMIF(Produção!C:C,A448,Produção!S:S)</f>
        <v>0</v>
      </c>
    </row>
    <row r="449" spans="1:3">
      <c r="A449" s="58" t="s">
        <v>634</v>
      </c>
      <c r="C449" s="62">
        <f>SUMIF(Produção!C:C,A449,Produção!S:S)</f>
        <v>0</v>
      </c>
    </row>
    <row r="450" spans="1:3">
      <c r="A450" s="57" t="s">
        <v>635</v>
      </c>
      <c r="C450" s="62">
        <f>SUMIF(Produção!C:C,A450,Produção!S:S)</f>
        <v>0</v>
      </c>
    </row>
    <row r="451" spans="1:3">
      <c r="A451" s="58" t="s">
        <v>636</v>
      </c>
      <c r="C451" s="62">
        <f>SUMIF(Produção!C:C,A451,Produção!S:S)</f>
        <v>0</v>
      </c>
    </row>
    <row r="452" spans="1:3">
      <c r="A452" s="57" t="s">
        <v>637</v>
      </c>
      <c r="C452" s="62">
        <f>SUMIF(Produção!C:C,A452,Produção!S:S)</f>
        <v>0</v>
      </c>
    </row>
    <row r="453" spans="1:3">
      <c r="A453" s="58" t="s">
        <v>638</v>
      </c>
      <c r="C453" s="62">
        <f>SUMIF(Produção!C:C,A453,Produção!S:S)</f>
        <v>0</v>
      </c>
    </row>
    <row r="454" spans="1:3">
      <c r="A454" s="57" t="s">
        <v>639</v>
      </c>
      <c r="C454" s="62">
        <f>SUMIF(Produção!C:C,A454,Produção!S:S)</f>
        <v>0</v>
      </c>
    </row>
    <row r="455" spans="1:3">
      <c r="A455" s="58" t="s">
        <v>640</v>
      </c>
      <c r="C455" s="62">
        <f>SUMIF(Produção!C:C,A455,Produção!S:S)</f>
        <v>0</v>
      </c>
    </row>
    <row r="456" spans="1:3">
      <c r="A456" s="57" t="s">
        <v>641</v>
      </c>
      <c r="C456" s="62">
        <f>SUMIF(Produção!C:C,A456,Produção!S:S)</f>
        <v>0</v>
      </c>
    </row>
    <row r="457" spans="1:3">
      <c r="A457" s="58" t="s">
        <v>642</v>
      </c>
      <c r="C457" s="62">
        <f>SUMIF(Produção!C:C,A457,Produção!S:S)</f>
        <v>0</v>
      </c>
    </row>
    <row r="458" spans="1:3">
      <c r="A458" s="57" t="s">
        <v>643</v>
      </c>
      <c r="C458" s="62">
        <f>SUMIF(Produção!C:C,A458,Produção!S:S)</f>
        <v>0</v>
      </c>
    </row>
    <row r="459" spans="1:3">
      <c r="A459" s="58" t="s">
        <v>644</v>
      </c>
      <c r="C459" s="62">
        <f>SUMIF(Produção!C:C,A459,Produção!S:S)</f>
        <v>0</v>
      </c>
    </row>
    <row r="460" spans="1:3">
      <c r="A460" s="57" t="s">
        <v>645</v>
      </c>
      <c r="C460" s="62">
        <f>SUMIF(Produção!C:C,A460,Produção!S:S)</f>
        <v>0</v>
      </c>
    </row>
    <row r="461" spans="1:3">
      <c r="A461" s="58" t="s">
        <v>646</v>
      </c>
      <c r="C461" s="62">
        <f>SUMIF(Produção!C:C,A461,Produção!S:S)</f>
        <v>0</v>
      </c>
    </row>
    <row r="462" spans="1:3">
      <c r="A462" s="57" t="s">
        <v>647</v>
      </c>
      <c r="C462" s="62">
        <f>SUMIF(Produção!C:C,A462,Produção!S:S)</f>
        <v>0</v>
      </c>
    </row>
    <row r="463" spans="1:3">
      <c r="A463" s="58" t="s">
        <v>648</v>
      </c>
      <c r="C463" s="62">
        <f>SUMIF(Produção!C:C,A463,Produção!S:S)</f>
        <v>0</v>
      </c>
    </row>
    <row r="464" spans="1:3">
      <c r="A464" s="57" t="s">
        <v>649</v>
      </c>
      <c r="C464" s="62">
        <f>SUMIF(Produção!C:C,A464,Produção!S:S)</f>
        <v>0</v>
      </c>
    </row>
    <row r="465" spans="1:3">
      <c r="A465" s="58" t="s">
        <v>650</v>
      </c>
      <c r="C465" s="62">
        <f>SUMIF(Produção!C:C,A465,Produção!S:S)</f>
        <v>0</v>
      </c>
    </row>
    <row r="466" spans="1:3">
      <c r="A466" s="57" t="s">
        <v>651</v>
      </c>
      <c r="C466" s="62">
        <f>SUMIF(Produção!C:C,A466,Produção!S:S)</f>
        <v>0</v>
      </c>
    </row>
    <row r="467" spans="1:3">
      <c r="A467" s="58" t="s">
        <v>652</v>
      </c>
      <c r="C467" s="62">
        <f>SUMIF(Produção!C:C,A467,Produção!S:S)</f>
        <v>0</v>
      </c>
    </row>
    <row r="468" spans="1:3">
      <c r="A468" s="57" t="s">
        <v>653</v>
      </c>
      <c r="C468" s="62">
        <f>SUMIF(Produção!C:C,A468,Produção!S:S)</f>
        <v>0</v>
      </c>
    </row>
    <row r="469" spans="1:3">
      <c r="A469" s="58" t="s">
        <v>654</v>
      </c>
      <c r="C469" s="62">
        <f>SUMIF(Produção!C:C,A469,Produção!S:S)</f>
        <v>0</v>
      </c>
    </row>
    <row r="470" spans="1:3">
      <c r="A470" s="57" t="s">
        <v>655</v>
      </c>
      <c r="C470" s="62">
        <f>SUMIF(Produção!C:C,A470,Produção!S:S)</f>
        <v>0</v>
      </c>
    </row>
    <row r="471" spans="1:3">
      <c r="A471" s="58" t="s">
        <v>656</v>
      </c>
      <c r="C471" s="62">
        <f>SUMIF(Produção!C:C,A471,Produção!S:S)</f>
        <v>0</v>
      </c>
    </row>
    <row r="472" spans="1:3">
      <c r="A472" s="57" t="s">
        <v>657</v>
      </c>
      <c r="C472" s="62">
        <f>SUMIF(Produção!C:C,A472,Produção!S:S)</f>
        <v>0</v>
      </c>
    </row>
    <row r="473" spans="1:3">
      <c r="A473" s="58" t="s">
        <v>658</v>
      </c>
      <c r="C473" s="62">
        <f>SUMIF(Produção!C:C,A473,Produção!S:S)</f>
        <v>0</v>
      </c>
    </row>
    <row r="474" spans="1:3">
      <c r="A474" s="57" t="s">
        <v>659</v>
      </c>
      <c r="C474" s="62">
        <f>SUMIF(Produção!C:C,A474,Produção!S:S)</f>
        <v>0</v>
      </c>
    </row>
    <row r="475" spans="1:3">
      <c r="A475" s="58" t="s">
        <v>660</v>
      </c>
      <c r="C475" s="62">
        <f>SUMIF(Produção!C:C,A475,Produção!S:S)</f>
        <v>0</v>
      </c>
    </row>
    <row r="476" spans="1:3">
      <c r="A476" s="57" t="s">
        <v>661</v>
      </c>
      <c r="C476" s="62">
        <f>SUMIF(Produção!C:C,A476,Produção!S:S)</f>
        <v>0</v>
      </c>
    </row>
    <row r="477" spans="1:3">
      <c r="A477" s="58" t="s">
        <v>662</v>
      </c>
      <c r="C477" s="62">
        <f>SUMIF(Produção!C:C,A477,Produção!S:S)</f>
        <v>0</v>
      </c>
    </row>
    <row r="478" spans="1:3">
      <c r="A478" s="57" t="s">
        <v>663</v>
      </c>
      <c r="C478" s="62">
        <f>SUMIF(Produção!C:C,A478,Produção!S:S)</f>
        <v>0</v>
      </c>
    </row>
    <row r="479" spans="1:3">
      <c r="A479" s="58" t="s">
        <v>664</v>
      </c>
      <c r="C479" s="62">
        <f>SUMIF(Produção!C:C,A479,Produção!S:S)</f>
        <v>0</v>
      </c>
    </row>
    <row r="480" spans="1:3">
      <c r="A480" s="57" t="s">
        <v>665</v>
      </c>
      <c r="C480" s="62">
        <f>SUMIF(Produção!C:C,A480,Produção!S:S)</f>
        <v>0</v>
      </c>
    </row>
    <row r="481" spans="1:3">
      <c r="A481" s="58" t="s">
        <v>666</v>
      </c>
      <c r="C481" s="62">
        <f>SUMIF(Produção!C:C,A481,Produção!S:S)</f>
        <v>0</v>
      </c>
    </row>
    <row r="482" spans="1:3">
      <c r="A482" s="57" t="s">
        <v>667</v>
      </c>
      <c r="C482" s="62">
        <f>SUMIF(Produção!C:C,A482,Produção!S:S)</f>
        <v>0</v>
      </c>
    </row>
    <row r="483" spans="1:3">
      <c r="A483" s="58" t="s">
        <v>668</v>
      </c>
      <c r="C483" s="62">
        <f>SUMIF(Produção!C:C,A483,Produção!S:S)</f>
        <v>0</v>
      </c>
    </row>
    <row r="484" spans="1:3">
      <c r="A484" s="57" t="s">
        <v>669</v>
      </c>
      <c r="C484" s="62">
        <f>SUMIF(Produção!C:C,A484,Produção!S:S)</f>
        <v>0</v>
      </c>
    </row>
    <row r="485" spans="1:3">
      <c r="A485" s="58" t="s">
        <v>670</v>
      </c>
      <c r="C485" s="62">
        <f>SUMIF(Produção!C:C,A485,Produção!S:S)</f>
        <v>0</v>
      </c>
    </row>
    <row r="486" spans="1:3">
      <c r="A486" s="57" t="s">
        <v>671</v>
      </c>
      <c r="C486" s="62">
        <f>SUMIF(Produção!C:C,A486,Produção!S:S)</f>
        <v>0</v>
      </c>
    </row>
    <row r="487" spans="1:3">
      <c r="A487" s="58" t="s">
        <v>672</v>
      </c>
      <c r="C487" s="62">
        <f>SUMIF(Produção!C:C,A487,Produção!S:S)</f>
        <v>0</v>
      </c>
    </row>
    <row r="488" spans="1:3">
      <c r="A488" s="57" t="s">
        <v>673</v>
      </c>
      <c r="C488" s="62">
        <f>SUMIF(Produção!C:C,A488,Produção!S:S)</f>
        <v>0</v>
      </c>
    </row>
    <row r="489" spans="1:3">
      <c r="A489" s="58" t="s">
        <v>674</v>
      </c>
      <c r="C489" s="62">
        <f>SUMIF(Produção!C:C,A489,Produção!S:S)</f>
        <v>0</v>
      </c>
    </row>
    <row r="490" spans="1:3">
      <c r="A490" s="57" t="s">
        <v>675</v>
      </c>
      <c r="C490" s="62">
        <f>SUMIF(Produção!C:C,A490,Produção!S:S)</f>
        <v>0</v>
      </c>
    </row>
    <row r="491" spans="1:3">
      <c r="A491" s="58" t="s">
        <v>676</v>
      </c>
      <c r="C491" s="62">
        <f>SUMIF(Produção!C:C,A491,Produção!S:S)</f>
        <v>0</v>
      </c>
    </row>
    <row r="492" spans="1:3">
      <c r="A492" s="57" t="s">
        <v>677</v>
      </c>
      <c r="C492" s="62">
        <f>SUMIF(Produção!C:C,A492,Produção!S:S)</f>
        <v>0</v>
      </c>
    </row>
    <row r="493" spans="1:3">
      <c r="A493" s="58" t="s">
        <v>678</v>
      </c>
      <c r="C493" s="62">
        <f>SUMIF(Produção!C:C,A493,Produção!S:S)</f>
        <v>0</v>
      </c>
    </row>
    <row r="494" spans="1:3">
      <c r="A494" s="57" t="s">
        <v>679</v>
      </c>
      <c r="C494" s="62">
        <f>SUMIF(Produção!C:C,A494,Produção!S:S)</f>
        <v>0</v>
      </c>
    </row>
    <row r="495" spans="1:3">
      <c r="A495" s="58" t="s">
        <v>680</v>
      </c>
      <c r="C495" s="62">
        <f>SUMIF(Produção!C:C,A495,Produção!S:S)</f>
        <v>0</v>
      </c>
    </row>
    <row r="496" spans="1:3">
      <c r="A496" s="57" t="s">
        <v>681</v>
      </c>
      <c r="C496" s="62">
        <f>SUMIF(Produção!C:C,A496,Produção!S:S)</f>
        <v>0</v>
      </c>
    </row>
    <row r="497" spans="1:3">
      <c r="A497" s="58" t="s">
        <v>682</v>
      </c>
      <c r="C497" s="62">
        <f>SUMIF(Produção!C:C,A497,Produção!S:S)</f>
        <v>0</v>
      </c>
    </row>
    <row r="498" spans="1:3">
      <c r="A498" s="57" t="s">
        <v>683</v>
      </c>
      <c r="C498" s="62">
        <f>SUMIF(Produção!C:C,A498,Produção!S:S)</f>
        <v>0</v>
      </c>
    </row>
    <row r="499" spans="1:3">
      <c r="A499" s="58" t="s">
        <v>684</v>
      </c>
      <c r="C499" s="62">
        <f>SUMIF(Produção!C:C,A499,Produção!S:S)</f>
        <v>0</v>
      </c>
    </row>
    <row r="500" spans="1:3">
      <c r="A500" s="57" t="s">
        <v>685</v>
      </c>
      <c r="C500" s="62">
        <f>SUMIF(Produção!C:C,A500,Produção!S:S)</f>
        <v>0</v>
      </c>
    </row>
    <row r="501" spans="1:3">
      <c r="A501" s="58" t="s">
        <v>686</v>
      </c>
      <c r="C501" s="62">
        <f>SUMIF(Produção!C:C,A501,Produção!S:S)</f>
        <v>0</v>
      </c>
    </row>
    <row r="502" spans="1:3">
      <c r="A502" s="57" t="s">
        <v>687</v>
      </c>
      <c r="C502" s="62">
        <f>SUMIF(Produção!C:C,A502,Produção!S:S)</f>
        <v>0</v>
      </c>
    </row>
    <row r="503" spans="1:3">
      <c r="A503" s="58" t="s">
        <v>688</v>
      </c>
      <c r="C503" s="62">
        <f>SUMIF(Produção!C:C,A503,Produção!S:S)</f>
        <v>0</v>
      </c>
    </row>
    <row r="504" spans="1:3">
      <c r="A504" s="57" t="s">
        <v>689</v>
      </c>
      <c r="C504" s="62">
        <f>SUMIF(Produção!C:C,A504,Produção!S:S)</f>
        <v>0</v>
      </c>
    </row>
    <row r="505" spans="1:3">
      <c r="A505" s="58" t="s">
        <v>690</v>
      </c>
      <c r="C505" s="62">
        <f>SUMIF(Produção!C:C,A505,Produção!S:S)</f>
        <v>0</v>
      </c>
    </row>
    <row r="506" spans="1:3">
      <c r="A506" s="57" t="s">
        <v>691</v>
      </c>
      <c r="C506" s="62">
        <f>SUMIF(Produção!C:C,A506,Produção!S:S)</f>
        <v>0</v>
      </c>
    </row>
    <row r="507" spans="1:3">
      <c r="A507" s="58" t="s">
        <v>691</v>
      </c>
      <c r="C507" s="62">
        <f>SUMIF(Produção!C:C,A507,Produção!S:S)</f>
        <v>0</v>
      </c>
    </row>
    <row r="508" spans="1:3">
      <c r="A508" s="57" t="s">
        <v>692</v>
      </c>
      <c r="C508" s="62">
        <f>SUMIF(Produção!C:C,A508,Produção!S:S)</f>
        <v>0</v>
      </c>
    </row>
    <row r="509" spans="1:3">
      <c r="A509" s="58" t="s">
        <v>692</v>
      </c>
      <c r="C509" s="62">
        <f>SUMIF(Produção!C:C,A509,Produção!S:S)</f>
        <v>0</v>
      </c>
    </row>
    <row r="510" spans="1:3">
      <c r="A510" s="57" t="s">
        <v>693</v>
      </c>
      <c r="C510" s="62">
        <f>SUMIF(Produção!C:C,A510,Produção!S:S)</f>
        <v>0</v>
      </c>
    </row>
    <row r="511" spans="1:3">
      <c r="A511" s="58" t="s">
        <v>693</v>
      </c>
      <c r="C511" s="62">
        <f>SUMIF(Produção!C:C,A511,Produção!S:S)</f>
        <v>0</v>
      </c>
    </row>
    <row r="512" spans="1:3">
      <c r="A512" s="57" t="s">
        <v>694</v>
      </c>
      <c r="C512" s="62">
        <f>SUMIF(Produção!C:C,A512,Produção!S:S)</f>
        <v>0</v>
      </c>
    </row>
    <row r="513" spans="1:3">
      <c r="A513" s="58" t="s">
        <v>694</v>
      </c>
      <c r="C513" s="62">
        <f>SUMIF(Produção!C:C,A513,Produção!S:S)</f>
        <v>0</v>
      </c>
    </row>
    <row r="514" spans="1:3">
      <c r="A514" s="57" t="s">
        <v>695</v>
      </c>
      <c r="C514" s="62">
        <f>SUMIF(Produção!C:C,A514,Produção!S:S)</f>
        <v>0</v>
      </c>
    </row>
    <row r="515" spans="1:3">
      <c r="A515" s="58" t="s">
        <v>696</v>
      </c>
      <c r="C515" s="62">
        <f>SUMIF(Produção!C:C,A515,Produção!S:S)</f>
        <v>0</v>
      </c>
    </row>
    <row r="516" spans="1:3">
      <c r="A516" s="57" t="s">
        <v>697</v>
      </c>
      <c r="C516" s="62">
        <f>SUMIF(Produção!C:C,A516,Produção!S:S)</f>
        <v>0</v>
      </c>
    </row>
    <row r="517" spans="1:3">
      <c r="A517" s="58" t="s">
        <v>698</v>
      </c>
      <c r="C517" s="62">
        <f>SUMIF(Produção!C:C,A517,Produção!S:S)</f>
        <v>0</v>
      </c>
    </row>
    <row r="518" spans="1:3">
      <c r="A518" s="57" t="s">
        <v>699</v>
      </c>
      <c r="C518" s="62">
        <f>SUMIF(Produção!C:C,A518,Produção!S:S)</f>
        <v>0</v>
      </c>
    </row>
    <row r="519" spans="1:3">
      <c r="A519" s="58" t="s">
        <v>700</v>
      </c>
      <c r="C519" s="62">
        <f>SUMIF(Produção!C:C,A519,Produção!S:S)</f>
        <v>0</v>
      </c>
    </row>
    <row r="520" spans="1:3">
      <c r="A520" s="57" t="s">
        <v>701</v>
      </c>
      <c r="C520" s="62">
        <f>SUMIF(Produção!C:C,A520,Produção!S:S)</f>
        <v>0</v>
      </c>
    </row>
    <row r="521" spans="1:3">
      <c r="A521" s="58" t="s">
        <v>702</v>
      </c>
      <c r="C521" s="62">
        <f>SUMIF(Produção!C:C,A521,Produção!S:S)</f>
        <v>0</v>
      </c>
    </row>
    <row r="522" spans="1:3">
      <c r="A522" s="57" t="s">
        <v>703</v>
      </c>
      <c r="C522" s="62">
        <f>SUMIF(Produção!C:C,A522,Produção!S:S)</f>
        <v>0</v>
      </c>
    </row>
    <row r="523" spans="1:3">
      <c r="A523" s="58" t="s">
        <v>704</v>
      </c>
      <c r="C523" s="62">
        <f>SUMIF(Produção!C:C,A523,Produção!S:S)</f>
        <v>0</v>
      </c>
    </row>
    <row r="524" spans="1:3">
      <c r="A524" s="57" t="s">
        <v>705</v>
      </c>
      <c r="C524" s="62">
        <f>SUMIF(Produção!C:C,A524,Produção!S:S)</f>
        <v>0</v>
      </c>
    </row>
    <row r="525" spans="1:3">
      <c r="A525" s="58" t="s">
        <v>706</v>
      </c>
      <c r="C525" s="62">
        <f>SUMIF(Produção!C:C,A525,Produção!S:S)</f>
        <v>0</v>
      </c>
    </row>
    <row r="526" spans="1:3">
      <c r="A526" s="57" t="s">
        <v>707</v>
      </c>
      <c r="C526" s="62">
        <f>SUMIF(Produção!C:C,A526,Produção!S:S)</f>
        <v>0</v>
      </c>
    </row>
    <row r="527" spans="1:3">
      <c r="A527" s="58" t="s">
        <v>708</v>
      </c>
      <c r="C527" s="62">
        <f>SUMIF(Produção!C:C,A527,Produção!S:S)</f>
        <v>0</v>
      </c>
    </row>
    <row r="528" spans="1:3">
      <c r="A528" s="57" t="s">
        <v>709</v>
      </c>
      <c r="C528" s="62">
        <f>SUMIF(Produção!C:C,A528,Produção!S:S)</f>
        <v>0</v>
      </c>
    </row>
    <row r="529" spans="1:3">
      <c r="A529" s="58" t="s">
        <v>710</v>
      </c>
      <c r="C529" s="62">
        <f>SUMIF(Produção!C:C,A529,Produção!S:S)</f>
        <v>0</v>
      </c>
    </row>
    <row r="530" spans="1:3">
      <c r="A530" s="57" t="s">
        <v>710</v>
      </c>
      <c r="C530" s="62">
        <f>SUMIF(Produção!C:C,A530,Produção!S:S)</f>
        <v>0</v>
      </c>
    </row>
    <row r="531" spans="1:3">
      <c r="A531" s="58" t="s">
        <v>711</v>
      </c>
      <c r="C531" s="62">
        <f>SUMIF(Produção!C:C,A531,Produção!S:S)</f>
        <v>0</v>
      </c>
    </row>
    <row r="532" spans="1:3">
      <c r="A532" s="57" t="s">
        <v>712</v>
      </c>
      <c r="C532" s="62">
        <f>SUMIF(Produção!C:C,A532,Produção!S:S)</f>
        <v>0</v>
      </c>
    </row>
    <row r="533" spans="1:3">
      <c r="A533" s="58" t="s">
        <v>713</v>
      </c>
      <c r="C533" s="62">
        <f>SUMIF(Produção!C:C,A533,Produção!S:S)</f>
        <v>0</v>
      </c>
    </row>
    <row r="534" spans="1:3">
      <c r="A534" s="57" t="s">
        <v>714</v>
      </c>
      <c r="C534" s="62">
        <f>SUMIF(Produção!C:C,A534,Produção!S:S)</f>
        <v>0</v>
      </c>
    </row>
    <row r="535" spans="1:3">
      <c r="A535" s="58" t="s">
        <v>715</v>
      </c>
      <c r="C535" s="62">
        <f>SUMIF(Produção!C:C,A535,Produção!S:S)</f>
        <v>0</v>
      </c>
    </row>
    <row r="536" spans="1:3">
      <c r="A536" s="57" t="s">
        <v>716</v>
      </c>
      <c r="C536" s="62">
        <f>SUMIF(Produção!C:C,A536,Produção!S:S)</f>
        <v>0</v>
      </c>
    </row>
    <row r="537" spans="1:3">
      <c r="A537" s="58" t="s">
        <v>717</v>
      </c>
      <c r="C537" s="62">
        <f>SUMIF(Produção!C:C,A537,Produção!S:S)</f>
        <v>0</v>
      </c>
    </row>
    <row r="538" spans="1:3">
      <c r="A538" s="57" t="s">
        <v>718</v>
      </c>
      <c r="C538" s="62">
        <f>SUMIF(Produção!C:C,A538,Produção!S:S)</f>
        <v>0</v>
      </c>
    </row>
    <row r="539" spans="1:3">
      <c r="A539" s="58" t="s">
        <v>719</v>
      </c>
      <c r="C539" s="62">
        <f>SUMIF(Produção!C:C,A539,Produção!S:S)</f>
        <v>0</v>
      </c>
    </row>
    <row r="540" spans="1:3">
      <c r="A540" s="57" t="s">
        <v>720</v>
      </c>
      <c r="C540" s="62">
        <f>SUMIF(Produção!C:C,A540,Produção!S:S)</f>
        <v>0</v>
      </c>
    </row>
    <row r="541" spans="1:3">
      <c r="A541" s="58" t="s">
        <v>721</v>
      </c>
      <c r="C541" s="62">
        <f>SUMIF(Produção!C:C,A541,Produção!S:S)</f>
        <v>0</v>
      </c>
    </row>
    <row r="542" spans="1:3">
      <c r="A542" s="57" t="s">
        <v>722</v>
      </c>
      <c r="C542" s="62">
        <f>SUMIF(Produção!C:C,A542,Produção!S:S)</f>
        <v>0</v>
      </c>
    </row>
    <row r="543" spans="1:3">
      <c r="A543" s="58" t="s">
        <v>723</v>
      </c>
      <c r="C543" s="62">
        <f>SUMIF(Produção!C:C,A543,Produção!S:S)</f>
        <v>0</v>
      </c>
    </row>
    <row r="544" spans="1:3">
      <c r="A544" s="57" t="s">
        <v>724</v>
      </c>
      <c r="C544" s="62">
        <f>SUMIF(Produção!C:C,A544,Produção!S:S)</f>
        <v>0</v>
      </c>
    </row>
    <row r="545" spans="1:3">
      <c r="A545" s="58" t="s">
        <v>725</v>
      </c>
      <c r="C545" s="62">
        <f>SUMIF(Produção!C:C,A545,Produção!S:S)</f>
        <v>0</v>
      </c>
    </row>
    <row r="546" spans="1:3">
      <c r="A546" s="57" t="s">
        <v>726</v>
      </c>
      <c r="C546" s="62">
        <f>SUMIF(Produção!C:C,A546,Produção!S:S)</f>
        <v>0</v>
      </c>
    </row>
    <row r="547" spans="1:3">
      <c r="A547" s="58" t="s">
        <v>727</v>
      </c>
      <c r="C547" s="62">
        <f>SUMIF(Produção!C:C,A547,Produção!S:S)</f>
        <v>0</v>
      </c>
    </row>
    <row r="548" spans="1:3">
      <c r="A548" s="57" t="s">
        <v>728</v>
      </c>
      <c r="C548" s="62">
        <f>SUMIF(Produção!C:C,A548,Produção!S:S)</f>
        <v>0</v>
      </c>
    </row>
    <row r="549" spans="1:3">
      <c r="A549" s="58" t="s">
        <v>729</v>
      </c>
      <c r="C549" s="62">
        <f>SUMIF(Produção!C:C,A549,Produção!S:S)</f>
        <v>0</v>
      </c>
    </row>
    <row r="550" spans="1:3">
      <c r="A550" s="57" t="s">
        <v>730</v>
      </c>
      <c r="C550" s="62">
        <f>SUMIF(Produção!C:C,A550,Produção!S:S)</f>
        <v>0</v>
      </c>
    </row>
    <row r="551" spans="1:3">
      <c r="A551" s="58" t="s">
        <v>731</v>
      </c>
      <c r="C551" s="62">
        <f>SUMIF(Produção!C:C,A551,Produção!S:S)</f>
        <v>0</v>
      </c>
    </row>
    <row r="552" spans="1:3">
      <c r="A552" s="57" t="s">
        <v>732</v>
      </c>
      <c r="C552" s="62">
        <f>SUMIF(Produção!C:C,A552,Produção!S:S)</f>
        <v>0</v>
      </c>
    </row>
    <row r="553" spans="1:3">
      <c r="A553" s="58" t="s">
        <v>733</v>
      </c>
      <c r="C553" s="62">
        <f>SUMIF(Produção!C:C,A553,Produção!S:S)</f>
        <v>0</v>
      </c>
    </row>
    <row r="554" spans="1:3">
      <c r="A554" s="57" t="s">
        <v>734</v>
      </c>
      <c r="C554" s="62">
        <f>SUMIF(Produção!C:C,A554,Produção!S:S)</f>
        <v>0</v>
      </c>
    </row>
    <row r="555" spans="1:3">
      <c r="A555" s="58" t="s">
        <v>735</v>
      </c>
      <c r="C555" s="62">
        <f>SUMIF(Produção!C:C,A555,Produção!S:S)</f>
        <v>0</v>
      </c>
    </row>
    <row r="556" spans="1:3">
      <c r="A556" s="57" t="s">
        <v>736</v>
      </c>
      <c r="C556" s="62">
        <f>SUMIF(Produção!C:C,A556,Produção!S:S)</f>
        <v>0</v>
      </c>
    </row>
    <row r="557" spans="1:3">
      <c r="A557" s="58" t="s">
        <v>737</v>
      </c>
      <c r="C557" s="62">
        <f>SUMIF(Produção!C:C,A557,Produção!S:S)</f>
        <v>0</v>
      </c>
    </row>
    <row r="558" spans="1:3">
      <c r="A558" s="57" t="s">
        <v>738</v>
      </c>
      <c r="C558" s="62">
        <f>SUMIF(Produção!C:C,A558,Produção!S:S)</f>
        <v>0</v>
      </c>
    </row>
    <row r="559" spans="1:3">
      <c r="A559" s="58" t="s">
        <v>739</v>
      </c>
      <c r="C559" s="62">
        <f>SUMIF(Produção!C:C,A559,Produção!S:S)</f>
        <v>0</v>
      </c>
    </row>
    <row r="560" spans="1:3">
      <c r="A560" s="57" t="s">
        <v>740</v>
      </c>
      <c r="C560" s="62">
        <f>SUMIF(Produção!C:C,A560,Produção!S:S)</f>
        <v>0</v>
      </c>
    </row>
    <row r="561" spans="1:3">
      <c r="A561" s="58" t="s">
        <v>741</v>
      </c>
      <c r="C561" s="62">
        <f>SUMIF(Produção!C:C,A561,Produção!S:S)</f>
        <v>0</v>
      </c>
    </row>
    <row r="562" spans="1:3">
      <c r="A562" s="57" t="s">
        <v>742</v>
      </c>
      <c r="C562" s="62">
        <f>SUMIF(Produção!C:C,A562,Produção!S:S)</f>
        <v>0</v>
      </c>
    </row>
    <row r="563" spans="1:3">
      <c r="A563" s="58" t="s">
        <v>743</v>
      </c>
      <c r="C563" s="62">
        <f>SUMIF(Produção!C:C,A563,Produção!S:S)</f>
        <v>0</v>
      </c>
    </row>
    <row r="564" spans="1:3">
      <c r="A564" s="57" t="s">
        <v>744</v>
      </c>
      <c r="C564" s="62">
        <f>SUMIF(Produção!C:C,A564,Produção!S:S)</f>
        <v>0</v>
      </c>
    </row>
    <row r="565" spans="1:3">
      <c r="A565" s="58" t="s">
        <v>745</v>
      </c>
      <c r="C565" s="62">
        <f>SUMIF(Produção!C:C,A565,Produção!S:S)</f>
        <v>0</v>
      </c>
    </row>
    <row r="566" spans="1:3">
      <c r="A566" s="57" t="s">
        <v>746</v>
      </c>
      <c r="C566" s="62">
        <f>SUMIF(Produção!C:C,A566,Produção!S:S)</f>
        <v>0</v>
      </c>
    </row>
    <row r="567" spans="1:3">
      <c r="A567" s="58" t="s">
        <v>747</v>
      </c>
      <c r="C567" s="62">
        <f>SUMIF(Produção!C:C,A567,Produção!S:S)</f>
        <v>0</v>
      </c>
    </row>
    <row r="568" spans="1:3">
      <c r="A568" s="57" t="s">
        <v>748</v>
      </c>
      <c r="C568" s="62">
        <f>SUMIF(Produção!C:C,A568,Produção!S:S)</f>
        <v>0</v>
      </c>
    </row>
    <row r="569" spans="1:3">
      <c r="A569" s="58" t="s">
        <v>749</v>
      </c>
      <c r="C569" s="62">
        <f>SUMIF(Produção!C:C,A569,Produção!S:S)</f>
        <v>0</v>
      </c>
    </row>
    <row r="570" spans="1:3">
      <c r="A570" s="57" t="s">
        <v>750</v>
      </c>
      <c r="C570" s="62">
        <f>SUMIF(Produção!C:C,A570,Produção!S:S)</f>
        <v>0</v>
      </c>
    </row>
    <row r="571" spans="1:3">
      <c r="A571" s="58" t="s">
        <v>751</v>
      </c>
      <c r="C571" s="62">
        <f>SUMIF(Produção!C:C,A571,Produção!S:S)</f>
        <v>0</v>
      </c>
    </row>
    <row r="572" spans="1:3">
      <c r="A572" s="57" t="s">
        <v>752</v>
      </c>
      <c r="C572" s="62">
        <f>SUMIF(Produção!C:C,A572,Produção!S:S)</f>
        <v>0</v>
      </c>
    </row>
    <row r="573" spans="1:3">
      <c r="A573" s="58" t="s">
        <v>753</v>
      </c>
      <c r="C573" s="62">
        <f>SUMIF(Produção!C:C,A573,Produção!S:S)</f>
        <v>0</v>
      </c>
    </row>
    <row r="574" spans="1:3">
      <c r="A574" s="57" t="s">
        <v>754</v>
      </c>
      <c r="C574" s="62">
        <f>SUMIF(Produção!C:C,A574,Produção!S:S)</f>
        <v>0</v>
      </c>
    </row>
    <row r="575" spans="1:3">
      <c r="A575" s="58" t="s">
        <v>755</v>
      </c>
      <c r="C575" s="62">
        <f>SUMIF(Produção!C:C,A575,Produção!S:S)</f>
        <v>0</v>
      </c>
    </row>
    <row r="576" spans="1:3">
      <c r="A576" s="57" t="s">
        <v>756</v>
      </c>
      <c r="C576" s="62">
        <f>SUMIF(Produção!C:C,A576,Produção!S:S)</f>
        <v>0</v>
      </c>
    </row>
    <row r="577" spans="1:3">
      <c r="A577" s="58" t="s">
        <v>757</v>
      </c>
      <c r="C577" s="62">
        <f>SUMIF(Produção!C:C,A577,Produção!S:S)</f>
        <v>0</v>
      </c>
    </row>
    <row r="578" spans="1:3">
      <c r="A578" s="57" t="s">
        <v>758</v>
      </c>
      <c r="C578" s="62">
        <f>SUMIF(Produção!C:C,A578,Produção!S:S)</f>
        <v>0</v>
      </c>
    </row>
    <row r="579" spans="1:3">
      <c r="A579" s="58" t="s">
        <v>759</v>
      </c>
      <c r="C579" s="62">
        <f>SUMIF(Produção!C:C,A579,Produção!S:S)</f>
        <v>0</v>
      </c>
    </row>
    <row r="580" spans="1:3">
      <c r="A580" s="57" t="s">
        <v>760</v>
      </c>
      <c r="C580" s="62">
        <f>SUMIF(Produção!C:C,A580,Produção!S:S)</f>
        <v>0</v>
      </c>
    </row>
    <row r="581" spans="1:3">
      <c r="A581" s="58" t="s">
        <v>761</v>
      </c>
      <c r="C581" s="62">
        <f>SUMIF(Produção!C:C,A581,Produção!S:S)</f>
        <v>0</v>
      </c>
    </row>
    <row r="582" spans="1:3">
      <c r="A582" s="57" t="s">
        <v>762</v>
      </c>
      <c r="C582" s="62">
        <f>SUMIF(Produção!C:C,A582,Produção!S:S)</f>
        <v>0</v>
      </c>
    </row>
    <row r="583" spans="1:3">
      <c r="A583" s="58" t="s">
        <v>763</v>
      </c>
      <c r="C583" s="62">
        <f>SUMIF(Produção!C:C,A583,Produção!S:S)</f>
        <v>0</v>
      </c>
    </row>
    <row r="584" spans="1:3">
      <c r="A584" s="57" t="s">
        <v>764</v>
      </c>
      <c r="C584" s="62">
        <f>SUMIF(Produção!C:C,A584,Produção!S:S)</f>
        <v>0</v>
      </c>
    </row>
    <row r="585" spans="1:3">
      <c r="A585" s="58" t="s">
        <v>765</v>
      </c>
      <c r="C585" s="62">
        <f>SUMIF(Produção!C:C,A585,Produção!S:S)</f>
        <v>0</v>
      </c>
    </row>
    <row r="586" spans="1:3">
      <c r="A586" s="57" t="s">
        <v>766</v>
      </c>
      <c r="C586" s="62">
        <f>SUMIF(Produção!C:C,A586,Produção!S:S)</f>
        <v>0</v>
      </c>
    </row>
    <row r="587" spans="1:3">
      <c r="A587" s="58" t="s">
        <v>767</v>
      </c>
      <c r="C587" s="62">
        <f>SUMIF(Produção!C:C,A587,Produção!S:S)</f>
        <v>0</v>
      </c>
    </row>
    <row r="588" spans="1:3">
      <c r="A588" s="57" t="s">
        <v>768</v>
      </c>
      <c r="C588" s="62">
        <f>SUMIF(Produção!C:C,A588,Produção!S:S)</f>
        <v>0</v>
      </c>
    </row>
    <row r="589" spans="1:3">
      <c r="A589" s="58" t="s">
        <v>769</v>
      </c>
      <c r="C589" s="62">
        <f>SUMIF(Produção!C:C,A589,Produção!S:S)</f>
        <v>0</v>
      </c>
    </row>
    <row r="590" spans="1:3">
      <c r="A590" s="57" t="s">
        <v>770</v>
      </c>
      <c r="C590" s="62">
        <f>SUMIF(Produção!C:C,A590,Produção!S:S)</f>
        <v>0</v>
      </c>
    </row>
    <row r="591" spans="1:3">
      <c r="A591" s="58" t="s">
        <v>771</v>
      </c>
      <c r="C591" s="62">
        <f>SUMIF(Produção!C:C,A591,Produção!S:S)</f>
        <v>0</v>
      </c>
    </row>
    <row r="592" spans="1:3">
      <c r="A592" s="57" t="s">
        <v>772</v>
      </c>
      <c r="C592" s="62">
        <f>SUMIF(Produção!C:C,A592,Produção!S:S)</f>
        <v>0</v>
      </c>
    </row>
    <row r="593" spans="1:3">
      <c r="A593" s="58" t="s">
        <v>773</v>
      </c>
      <c r="C593" s="62">
        <f>SUMIF(Produção!C:C,A593,Produção!S:S)</f>
        <v>0</v>
      </c>
    </row>
    <row r="594" spans="1:3">
      <c r="A594" s="57" t="s">
        <v>774</v>
      </c>
      <c r="C594" s="62">
        <f>SUMIF(Produção!C:C,A594,Produção!S:S)</f>
        <v>0</v>
      </c>
    </row>
    <row r="595" spans="1:3">
      <c r="A595" s="58" t="s">
        <v>775</v>
      </c>
      <c r="C595" s="62">
        <f>SUMIF(Produção!C:C,A595,Produção!S:S)</f>
        <v>0</v>
      </c>
    </row>
    <row r="596" spans="1:3">
      <c r="A596" s="57" t="s">
        <v>776</v>
      </c>
      <c r="C596" s="62">
        <f>SUMIF(Produção!C:C,A596,Produção!S:S)</f>
        <v>0</v>
      </c>
    </row>
    <row r="597" spans="1:3">
      <c r="A597" s="58" t="s">
        <v>777</v>
      </c>
      <c r="C597" s="62">
        <f>SUMIF(Produção!C:C,A597,Produção!S:S)</f>
        <v>0</v>
      </c>
    </row>
    <row r="598" spans="1:3">
      <c r="A598" s="57" t="s">
        <v>778</v>
      </c>
      <c r="C598" s="62">
        <f>SUMIF(Produção!C:C,A598,Produção!S:S)</f>
        <v>0</v>
      </c>
    </row>
    <row r="599" spans="1:3">
      <c r="A599" s="58" t="s">
        <v>779</v>
      </c>
      <c r="C599" s="62">
        <f>SUMIF(Produção!C:C,A599,Produção!S:S)</f>
        <v>0</v>
      </c>
    </row>
    <row r="600" spans="1:3">
      <c r="A600" s="57" t="s">
        <v>780</v>
      </c>
      <c r="C600" s="62">
        <f>SUMIF(Produção!C:C,A600,Produção!S:S)</f>
        <v>0</v>
      </c>
    </row>
    <row r="601" spans="1:3">
      <c r="A601" s="58" t="s">
        <v>781</v>
      </c>
      <c r="C601" s="62">
        <f>SUMIF(Produção!C:C,A601,Produção!S:S)</f>
        <v>0</v>
      </c>
    </row>
    <row r="602" spans="1:3">
      <c r="A602" s="57" t="s">
        <v>782</v>
      </c>
      <c r="C602" s="62">
        <f>SUMIF(Produção!C:C,A602,Produção!S:S)</f>
        <v>0</v>
      </c>
    </row>
    <row r="603" spans="1:3">
      <c r="A603" s="58" t="s">
        <v>783</v>
      </c>
      <c r="C603" s="62">
        <f>SUMIF(Produção!C:C,A603,Produção!S:S)</f>
        <v>0</v>
      </c>
    </row>
    <row r="604" spans="1:3">
      <c r="A604" s="57" t="s">
        <v>784</v>
      </c>
      <c r="C604" s="62">
        <f>SUMIF(Produção!C:C,A604,Produção!S:S)</f>
        <v>0</v>
      </c>
    </row>
    <row r="605" spans="1:3">
      <c r="A605" s="58" t="s">
        <v>785</v>
      </c>
      <c r="C605" s="62">
        <f>SUMIF(Produção!C:C,A605,Produção!S:S)</f>
        <v>0</v>
      </c>
    </row>
    <row r="606" spans="1:3">
      <c r="A606" s="57" t="s">
        <v>786</v>
      </c>
      <c r="C606" s="62">
        <f>SUMIF(Produção!C:C,A606,Produção!S:S)</f>
        <v>0</v>
      </c>
    </row>
    <row r="607" spans="1:3">
      <c r="A607" s="58" t="s">
        <v>787</v>
      </c>
      <c r="C607" s="62">
        <f>SUMIF(Produção!C:C,A607,Produção!S:S)</f>
        <v>0</v>
      </c>
    </row>
    <row r="608" spans="1:3">
      <c r="A608" s="57" t="s">
        <v>788</v>
      </c>
      <c r="C608" s="62">
        <f>SUMIF(Produção!C:C,A608,Produção!S:S)</f>
        <v>0</v>
      </c>
    </row>
    <row r="609" spans="1:3">
      <c r="A609" s="58" t="s">
        <v>789</v>
      </c>
      <c r="C609" s="62">
        <f>SUMIF(Produção!C:C,A609,Produção!S:S)</f>
        <v>0</v>
      </c>
    </row>
    <row r="610" spans="1:3">
      <c r="A610" s="57" t="s">
        <v>790</v>
      </c>
      <c r="C610" s="62">
        <f>SUMIF(Produção!C:C,A610,Produção!S:S)</f>
        <v>0</v>
      </c>
    </row>
    <row r="611" spans="1:3">
      <c r="A611" s="58" t="s">
        <v>791</v>
      </c>
      <c r="C611" s="62">
        <f>SUMIF(Produção!C:C,A611,Produção!S:S)</f>
        <v>0</v>
      </c>
    </row>
    <row r="612" spans="1:3">
      <c r="A612" s="57" t="s">
        <v>792</v>
      </c>
      <c r="C612" s="62">
        <f>SUMIF(Produção!C:C,A612,Produção!S:S)</f>
        <v>0</v>
      </c>
    </row>
    <row r="613" spans="1:3">
      <c r="A613" s="58" t="s">
        <v>793</v>
      </c>
      <c r="C613" s="62">
        <f>SUMIF(Produção!C:C,A613,Produção!S:S)</f>
        <v>0</v>
      </c>
    </row>
    <row r="614" spans="1:3">
      <c r="A614" s="57" t="s">
        <v>794</v>
      </c>
      <c r="C614" s="62">
        <f>SUMIF(Produção!C:C,A614,Produção!S:S)</f>
        <v>0</v>
      </c>
    </row>
    <row r="615" spans="1:3">
      <c r="A615" s="58" t="s">
        <v>795</v>
      </c>
      <c r="C615" s="62">
        <f>SUMIF(Produção!C:C,A615,Produção!S:S)</f>
        <v>0</v>
      </c>
    </row>
    <row r="616" spans="1:3">
      <c r="A616" s="57" t="s">
        <v>796</v>
      </c>
      <c r="C616" s="62">
        <f>SUMIF(Produção!C:C,A616,Produção!S:S)</f>
        <v>0</v>
      </c>
    </row>
    <row r="617" spans="1:3">
      <c r="A617" s="58" t="s">
        <v>797</v>
      </c>
      <c r="C617" s="62">
        <f>SUMIF(Produção!C:C,A617,Produção!S:S)</f>
        <v>0</v>
      </c>
    </row>
    <row r="618" spans="1:3">
      <c r="A618" s="57" t="s">
        <v>798</v>
      </c>
      <c r="C618" s="62">
        <f>SUMIF(Produção!C:C,A618,Produção!S:S)</f>
        <v>0</v>
      </c>
    </row>
    <row r="619" spans="1:3">
      <c r="A619" s="58" t="s">
        <v>799</v>
      </c>
      <c r="C619" s="62">
        <f>SUMIF(Produção!C:C,A619,Produção!S:S)</f>
        <v>0</v>
      </c>
    </row>
    <row r="620" spans="1:3">
      <c r="A620" s="57" t="s">
        <v>800</v>
      </c>
      <c r="C620" s="62">
        <f>SUMIF(Produção!C:C,A620,Produção!S:S)</f>
        <v>0</v>
      </c>
    </row>
    <row r="621" spans="1:3">
      <c r="A621" s="58" t="s">
        <v>801</v>
      </c>
      <c r="C621" s="62">
        <f>SUMIF(Produção!C:C,A621,Produção!S:S)</f>
        <v>0</v>
      </c>
    </row>
    <row r="622" spans="1:3">
      <c r="A622" s="57" t="s">
        <v>909</v>
      </c>
      <c r="C622" s="62">
        <f>SUMIF(Produção!C:C,A622,Produção!S:S)</f>
        <v>0</v>
      </c>
    </row>
    <row r="623" spans="1:3">
      <c r="A623" s="58" t="s">
        <v>908</v>
      </c>
      <c r="C623" s="62">
        <f>SUMIF(Produção!C:C,A623,Produção!S:S)</f>
        <v>0</v>
      </c>
    </row>
    <row r="624" spans="1:3">
      <c r="A624" s="57" t="s">
        <v>907</v>
      </c>
      <c r="C624" s="62">
        <f>SUMIF(Produção!C:C,A624,Produção!S:S)</f>
        <v>0</v>
      </c>
    </row>
    <row r="625" spans="1:3">
      <c r="A625" s="58" t="s">
        <v>906</v>
      </c>
      <c r="C625" s="62">
        <f>SUMIF(Produção!C:C,A625,Produção!S:S)</f>
        <v>0</v>
      </c>
    </row>
    <row r="626" spans="1:3">
      <c r="A626" s="57" t="s">
        <v>905</v>
      </c>
      <c r="C626" s="62">
        <f>SUMIF(Produção!C:C,A626,Produção!S:S)</f>
        <v>0</v>
      </c>
    </row>
    <row r="627" spans="1:3">
      <c r="A627" s="58" t="s">
        <v>904</v>
      </c>
      <c r="C627" s="62">
        <f>SUMIF(Produção!C:C,A627,Produção!S:S)</f>
        <v>0</v>
      </c>
    </row>
    <row r="628" spans="1:3">
      <c r="A628" s="57" t="s">
        <v>903</v>
      </c>
      <c r="C628" s="62">
        <f>SUMIF(Produção!C:C,A628,Produção!S:S)</f>
        <v>0</v>
      </c>
    </row>
    <row r="629" spans="1:3">
      <c r="A629" s="58" t="s">
        <v>902</v>
      </c>
      <c r="C629" s="62">
        <f>SUMIF(Produção!C:C,A629,Produção!S:S)</f>
        <v>0</v>
      </c>
    </row>
    <row r="630" spans="1:3">
      <c r="A630" s="57" t="s">
        <v>901</v>
      </c>
      <c r="C630" s="62">
        <f>SUMIF(Produção!C:C,A630,Produção!S:S)</f>
        <v>0</v>
      </c>
    </row>
    <row r="631" spans="1:3">
      <c r="A631" s="58" t="s">
        <v>900</v>
      </c>
      <c r="C631" s="62">
        <f>SUMIF(Produção!C:C,A631,Produção!S:S)</f>
        <v>0</v>
      </c>
    </row>
    <row r="632" spans="1:3">
      <c r="A632" s="57" t="s">
        <v>899</v>
      </c>
      <c r="C632" s="62">
        <f>SUMIF(Produção!C:C,A632,Produção!S:S)</f>
        <v>0</v>
      </c>
    </row>
    <row r="633" spans="1:3">
      <c r="A633" s="58" t="s">
        <v>898</v>
      </c>
      <c r="C633" s="62">
        <f>SUMIF(Produção!C:C,A633,Produção!S:S)</f>
        <v>0</v>
      </c>
    </row>
    <row r="634" spans="1:3">
      <c r="A634" s="57" t="s">
        <v>897</v>
      </c>
      <c r="C634" s="62">
        <f>SUMIF(Produção!C:C,A634,Produção!S:S)</f>
        <v>0</v>
      </c>
    </row>
    <row r="635" spans="1:3">
      <c r="A635" s="58" t="s">
        <v>896</v>
      </c>
      <c r="C635" s="62">
        <f>SUMIF(Produção!C:C,A635,Produção!S:S)</f>
        <v>0</v>
      </c>
    </row>
    <row r="636" spans="1:3">
      <c r="A636" s="57" t="s">
        <v>895</v>
      </c>
      <c r="C636" s="62">
        <f>SUMIF(Produção!C:C,A636,Produção!S:S)</f>
        <v>0</v>
      </c>
    </row>
    <row r="637" spans="1:3">
      <c r="A637" s="58" t="s">
        <v>894</v>
      </c>
      <c r="C637" s="62">
        <f>SUMIF(Produção!C:C,A637,Produção!S:S)</f>
        <v>0</v>
      </c>
    </row>
    <row r="638" spans="1:3">
      <c r="A638" s="57" t="s">
        <v>893</v>
      </c>
      <c r="C638" s="62">
        <f>SUMIF(Produção!C:C,A638,Produção!S:S)</f>
        <v>0</v>
      </c>
    </row>
    <row r="639" spans="1:3">
      <c r="A639" s="58" t="s">
        <v>892</v>
      </c>
      <c r="C639" s="62">
        <f>SUMIF(Produção!C:C,A639,Produção!S:S)</f>
        <v>0</v>
      </c>
    </row>
    <row r="640" spans="1:3">
      <c r="A640" s="57" t="s">
        <v>891</v>
      </c>
      <c r="C640" s="62">
        <f>SUMIF(Produção!C:C,A640,Produção!S:S)</f>
        <v>0</v>
      </c>
    </row>
    <row r="641" spans="1:3">
      <c r="A641" s="58" t="s">
        <v>890</v>
      </c>
      <c r="C641" s="62">
        <f>SUMIF(Produção!C:C,A641,Produção!S:S)</f>
        <v>0</v>
      </c>
    </row>
    <row r="642" spans="1:3">
      <c r="A642" s="57" t="s">
        <v>889</v>
      </c>
      <c r="C642" s="62">
        <f>SUMIF(Produção!C:C,A642,Produção!S:S)</f>
        <v>0</v>
      </c>
    </row>
    <row r="643" spans="1:3">
      <c r="A643" s="58" t="s">
        <v>888</v>
      </c>
      <c r="C643" s="62">
        <f>SUMIF(Produção!C:C,A643,Produção!S:S)</f>
        <v>0</v>
      </c>
    </row>
    <row r="644" spans="1:3">
      <c r="A644" s="57" t="s">
        <v>887</v>
      </c>
      <c r="C644" s="62">
        <f>SUMIF(Produção!C:C,A644,Produção!S:S)</f>
        <v>0</v>
      </c>
    </row>
    <row r="645" spans="1:3">
      <c r="A645" s="58" t="s">
        <v>886</v>
      </c>
      <c r="C645" s="62">
        <f>SUMIF(Produção!C:C,A645,Produção!S:S)</f>
        <v>0</v>
      </c>
    </row>
    <row r="646" spans="1:3">
      <c r="A646" s="57" t="s">
        <v>885</v>
      </c>
      <c r="C646" s="62">
        <f>SUMIF(Produção!C:C,A646,Produção!S:S)</f>
        <v>0</v>
      </c>
    </row>
    <row r="647" spans="1:3">
      <c r="A647" s="58" t="s">
        <v>884</v>
      </c>
      <c r="C647" s="62">
        <f>SUMIF(Produção!C:C,A647,Produção!S:S)</f>
        <v>0</v>
      </c>
    </row>
    <row r="648" spans="1:3">
      <c r="A648" s="57" t="s">
        <v>883</v>
      </c>
      <c r="C648" s="62">
        <f>SUMIF(Produção!C:C,A648,Produção!S:S)</f>
        <v>0</v>
      </c>
    </row>
    <row r="649" spans="1:3">
      <c r="A649" s="58" t="s">
        <v>882</v>
      </c>
      <c r="C649" s="62">
        <f>SUMIF(Produção!C:C,A649,Produção!S:S)</f>
        <v>0</v>
      </c>
    </row>
    <row r="650" spans="1:3">
      <c r="A650" s="57" t="s">
        <v>881</v>
      </c>
      <c r="C650" s="62">
        <f>SUMIF(Produção!C:C,A650,Produção!S:S)</f>
        <v>0</v>
      </c>
    </row>
    <row r="651" spans="1:3">
      <c r="A651" s="58" t="s">
        <v>880</v>
      </c>
      <c r="C651" s="62">
        <f>SUMIF(Produção!C:C,A651,Produção!S:S)</f>
        <v>0</v>
      </c>
    </row>
    <row r="652" spans="1:3">
      <c r="A652" s="57" t="s">
        <v>879</v>
      </c>
      <c r="C652" s="62">
        <f>SUMIF(Produção!C:C,A652,Produção!S:S)</f>
        <v>0</v>
      </c>
    </row>
    <row r="653" spans="1:3">
      <c r="A653" s="58" t="s">
        <v>878</v>
      </c>
      <c r="C653" s="62">
        <f>SUMIF(Produção!C:C,A653,Produção!S:S)</f>
        <v>0</v>
      </c>
    </row>
    <row r="654" spans="1:3">
      <c r="A654" s="57" t="s">
        <v>877</v>
      </c>
      <c r="C654" s="62">
        <f>SUMIF(Produção!C:C,A654,Produção!S:S)</f>
        <v>0</v>
      </c>
    </row>
    <row r="655" spans="1:3">
      <c r="A655" s="58" t="s">
        <v>876</v>
      </c>
      <c r="C655" s="62">
        <f>SUMIF(Produção!C:C,A655,Produção!S:S)</f>
        <v>0</v>
      </c>
    </row>
    <row r="656" spans="1:3">
      <c r="A656" s="57" t="s">
        <v>875</v>
      </c>
      <c r="C656" s="62">
        <f>SUMIF(Produção!C:C,A656,Produção!S:S)</f>
        <v>0</v>
      </c>
    </row>
    <row r="657" spans="1:3">
      <c r="A657" s="58" t="s">
        <v>874</v>
      </c>
      <c r="C657" s="62">
        <f>SUMIF(Produção!C:C,A657,Produção!S:S)</f>
        <v>0</v>
      </c>
    </row>
    <row r="658" spans="1:3">
      <c r="A658" s="57" t="s">
        <v>873</v>
      </c>
      <c r="C658" s="62">
        <f>SUMIF(Produção!C:C,A658,Produção!S:S)</f>
        <v>0</v>
      </c>
    </row>
    <row r="659" spans="1:3">
      <c r="A659" s="58" t="s">
        <v>872</v>
      </c>
      <c r="C659" s="62">
        <f>SUMIF(Produção!C:C,A659,Produção!S:S)</f>
        <v>0</v>
      </c>
    </row>
    <row r="660" spans="1:3">
      <c r="A660" s="57" t="s">
        <v>871</v>
      </c>
      <c r="C660" s="62">
        <f>SUMIF(Produção!C:C,A660,Produção!S:S)</f>
        <v>0</v>
      </c>
    </row>
    <row r="661" spans="1:3">
      <c r="A661" s="58" t="s">
        <v>870</v>
      </c>
      <c r="C661" s="62">
        <f>SUMIF(Produção!C:C,A661,Produção!S:S)</f>
        <v>0</v>
      </c>
    </row>
    <row r="662" spans="1:3">
      <c r="A662" s="57" t="s">
        <v>869</v>
      </c>
      <c r="C662" s="62">
        <f>SUMIF(Produção!C:C,A662,Produção!S:S)</f>
        <v>0</v>
      </c>
    </row>
    <row r="663" spans="1:3">
      <c r="A663" s="58" t="s">
        <v>868</v>
      </c>
      <c r="C663" s="62">
        <f>SUMIF(Produção!C:C,A663,Produção!S:S)</f>
        <v>0</v>
      </c>
    </row>
    <row r="664" spans="1:3">
      <c r="A664" s="57" t="s">
        <v>867</v>
      </c>
      <c r="C664" s="62">
        <f>SUMIF(Produção!C:C,A664,Produção!S:S)</f>
        <v>0</v>
      </c>
    </row>
    <row r="665" spans="1:3">
      <c r="A665" s="58" t="s">
        <v>866</v>
      </c>
      <c r="C665" s="62">
        <f>SUMIF(Produção!C:C,A665,Produção!S:S)</f>
        <v>0</v>
      </c>
    </row>
    <row r="666" spans="1:3">
      <c r="A666" s="57" t="s">
        <v>865</v>
      </c>
      <c r="C666" s="62">
        <f>SUMIF(Produção!C:C,A666,Produção!S:S)</f>
        <v>0</v>
      </c>
    </row>
    <row r="667" spans="1:3">
      <c r="A667" s="58" t="s">
        <v>864</v>
      </c>
      <c r="C667" s="62">
        <f>SUMIF(Produção!C:C,A667,Produção!S:S)</f>
        <v>0</v>
      </c>
    </row>
    <row r="668" spans="1:3">
      <c r="A668" s="57" t="s">
        <v>862</v>
      </c>
      <c r="C668" s="62">
        <f>SUMIF(Produção!C:C,A668,Produção!S:S)</f>
        <v>0</v>
      </c>
    </row>
    <row r="669" spans="1:3">
      <c r="A669" s="58" t="s">
        <v>863</v>
      </c>
      <c r="C669" s="62">
        <f>SUMIF(Produção!C:C,A669,Produção!S:S)</f>
        <v>0</v>
      </c>
    </row>
    <row r="670" spans="1:3">
      <c r="A670" s="57" t="s">
        <v>861</v>
      </c>
      <c r="C670" s="62">
        <f>SUMIF(Produção!C:C,A670,Produção!S:S)</f>
        <v>0</v>
      </c>
    </row>
    <row r="671" spans="1:3">
      <c r="A671" s="58" t="s">
        <v>860</v>
      </c>
      <c r="C671" s="62">
        <f>SUMIF(Produção!C:C,A671,Produção!S:S)</f>
        <v>0</v>
      </c>
    </row>
    <row r="672" spans="1:3">
      <c r="A672" s="57" t="s">
        <v>859</v>
      </c>
      <c r="C672" s="62">
        <f>SUMIF(Produção!C:C,A672,Produção!S:S)</f>
        <v>0</v>
      </c>
    </row>
    <row r="673" spans="1:3">
      <c r="A673" s="58" t="s">
        <v>858</v>
      </c>
      <c r="C673" s="62">
        <f>SUMIF(Produção!C:C,A673,Produção!S:S)</f>
        <v>0</v>
      </c>
    </row>
    <row r="674" spans="1:3">
      <c r="A674" s="57" t="s">
        <v>857</v>
      </c>
      <c r="C674" s="62">
        <f>SUMIF(Produção!C:C,A674,Produção!S:S)</f>
        <v>0</v>
      </c>
    </row>
    <row r="675" spans="1:3">
      <c r="A675" s="58" t="s">
        <v>856</v>
      </c>
      <c r="C675" s="62">
        <f>SUMIF(Produção!C:C,A675,Produção!S:S)</f>
        <v>0</v>
      </c>
    </row>
    <row r="676" spans="1:3">
      <c r="A676" s="57" t="s">
        <v>855</v>
      </c>
      <c r="C676" s="62">
        <f>SUMIF(Produção!C:C,A676,Produção!S:S)</f>
        <v>0</v>
      </c>
    </row>
    <row r="677" spans="1:3">
      <c r="A677" s="58" t="s">
        <v>854</v>
      </c>
      <c r="C677" s="62">
        <f>SUMIF(Produção!C:C,A677,Produção!S:S)</f>
        <v>0</v>
      </c>
    </row>
    <row r="678" spans="1:3">
      <c r="A678" s="57" t="s">
        <v>853</v>
      </c>
      <c r="C678" s="62">
        <f>SUMIF(Produção!C:C,A678,Produção!S:S)</f>
        <v>0</v>
      </c>
    </row>
    <row r="679" spans="1:3">
      <c r="A679" s="58" t="s">
        <v>852</v>
      </c>
      <c r="C679" s="62">
        <f>SUMIF(Produção!C:C,A679,Produção!S:S)</f>
        <v>0</v>
      </c>
    </row>
    <row r="680" spans="1:3">
      <c r="A680" s="57" t="s">
        <v>851</v>
      </c>
      <c r="C680" s="62">
        <f>SUMIF(Produção!C:C,A680,Produção!S:S)</f>
        <v>0</v>
      </c>
    </row>
    <row r="681" spans="1:3">
      <c r="A681" s="58" t="s">
        <v>850</v>
      </c>
      <c r="C681" s="62">
        <f>SUMIF(Produção!C:C,A681,Produção!S:S)</f>
        <v>0</v>
      </c>
    </row>
    <row r="682" spans="1:3">
      <c r="A682" s="57" t="s">
        <v>849</v>
      </c>
      <c r="C682" s="62">
        <f>SUMIF(Produção!C:C,A682,Produção!S:S)</f>
        <v>0</v>
      </c>
    </row>
    <row r="683" spans="1:3">
      <c r="A683" s="58" t="s">
        <v>848</v>
      </c>
      <c r="C683" s="62">
        <f>SUMIF(Produção!C:C,A683,Produção!S:S)</f>
        <v>0</v>
      </c>
    </row>
    <row r="684" spans="1:3">
      <c r="A684" s="57" t="s">
        <v>847</v>
      </c>
      <c r="C684" s="62">
        <f>SUMIF(Produção!C:C,A684,Produção!S:S)</f>
        <v>0</v>
      </c>
    </row>
    <row r="685" spans="1:3">
      <c r="A685" s="58" t="s">
        <v>846</v>
      </c>
      <c r="C685" s="62">
        <f>SUMIF(Produção!C:C,A685,Produção!S:S)</f>
        <v>0</v>
      </c>
    </row>
    <row r="686" spans="1:3">
      <c r="A686" s="57" t="s">
        <v>845</v>
      </c>
      <c r="C686" s="62">
        <f>SUMIF(Produção!C:C,A686,Produção!S:S)</f>
        <v>0</v>
      </c>
    </row>
    <row r="687" spans="1:3">
      <c r="A687" s="58" t="s">
        <v>844</v>
      </c>
      <c r="C687" s="62">
        <f>SUMIF(Produção!C:C,A687,Produção!S:S)</f>
        <v>0</v>
      </c>
    </row>
    <row r="688" spans="1:3">
      <c r="A688" s="57" t="s">
        <v>843</v>
      </c>
      <c r="C688" s="62">
        <f>SUMIF(Produção!C:C,A688,Produção!S:S)</f>
        <v>0</v>
      </c>
    </row>
    <row r="689" spans="1:3">
      <c r="A689" s="58" t="s">
        <v>842</v>
      </c>
      <c r="C689" s="62">
        <f>SUMIF(Produção!C:C,A689,Produção!S:S)</f>
        <v>0</v>
      </c>
    </row>
    <row r="690" spans="1:3">
      <c r="A690" s="57" t="s">
        <v>841</v>
      </c>
      <c r="C690" s="62">
        <f>SUMIF(Produção!C:C,A690,Produção!S:S)</f>
        <v>0</v>
      </c>
    </row>
    <row r="691" spans="1:3">
      <c r="A691" s="58" t="s">
        <v>840</v>
      </c>
      <c r="C691" s="62">
        <f>SUMIF(Produção!C:C,A691,Produção!S:S)</f>
        <v>0</v>
      </c>
    </row>
    <row r="692" spans="1:3">
      <c r="A692" s="57" t="s">
        <v>839</v>
      </c>
      <c r="C692" s="62">
        <f>SUMIF(Produção!C:C,A692,Produção!S:S)</f>
        <v>0</v>
      </c>
    </row>
    <row r="693" spans="1:3">
      <c r="A693" s="58" t="s">
        <v>838</v>
      </c>
      <c r="C693" s="62">
        <f>SUMIF(Produção!C:C,A693,Produção!S:S)</f>
        <v>0</v>
      </c>
    </row>
    <row r="694" spans="1:3">
      <c r="A694" s="57" t="s">
        <v>837</v>
      </c>
      <c r="C694" s="62">
        <f>SUMIF(Produção!C:C,A694,Produção!S:S)</f>
        <v>0</v>
      </c>
    </row>
    <row r="695" spans="1:3">
      <c r="A695" s="58" t="s">
        <v>836</v>
      </c>
      <c r="C695" s="62">
        <f>SUMIF(Produção!C:C,A695,Produção!S:S)</f>
        <v>0</v>
      </c>
    </row>
    <row r="696" spans="1:3">
      <c r="A696" s="57" t="s">
        <v>835</v>
      </c>
      <c r="C696" s="62">
        <f>SUMIF(Produção!C:C,A696,Produção!S:S)</f>
        <v>0</v>
      </c>
    </row>
    <row r="697" spans="1:3">
      <c r="A697" s="58" t="s">
        <v>834</v>
      </c>
      <c r="C697" s="62">
        <f>SUMIF(Produção!C:C,A697,Produção!S:S)</f>
        <v>0</v>
      </c>
    </row>
    <row r="698" spans="1:3">
      <c r="A698" s="57" t="s">
        <v>833</v>
      </c>
      <c r="C698" s="62">
        <f>SUMIF(Produção!C:C,A698,Produção!S:S)</f>
        <v>0</v>
      </c>
    </row>
    <row r="699" spans="1:3">
      <c r="A699" s="58" t="s">
        <v>832</v>
      </c>
      <c r="C699" s="62">
        <f>SUMIF(Produção!C:C,A699,Produção!S:S)</f>
        <v>0</v>
      </c>
    </row>
    <row r="700" spans="1:3">
      <c r="A700" s="57" t="s">
        <v>831</v>
      </c>
      <c r="C700" s="62">
        <f>SUMIF(Produção!C:C,A700,Produção!S:S)</f>
        <v>0</v>
      </c>
    </row>
    <row r="701" spans="1:3">
      <c r="A701" s="58" t="s">
        <v>831</v>
      </c>
      <c r="C701" s="62">
        <f>SUMIF(Produção!C:C,A701,Produção!S:S)</f>
        <v>0</v>
      </c>
    </row>
    <row r="702" spans="1:3">
      <c r="A702" s="57" t="s">
        <v>830</v>
      </c>
      <c r="C702" s="62">
        <f>SUMIF(Produção!C:C,A702,Produção!S:S)</f>
        <v>0</v>
      </c>
    </row>
    <row r="703" spans="1:3">
      <c r="A703" s="58" t="s">
        <v>830</v>
      </c>
      <c r="C703" s="62">
        <f>SUMIF(Produção!C:C,A703,Produção!S:S)</f>
        <v>0</v>
      </c>
    </row>
    <row r="704" spans="1:3">
      <c r="A704" s="57" t="s">
        <v>829</v>
      </c>
      <c r="C704" s="62">
        <f>SUMIF(Produção!C:C,A704,Produção!S:S)</f>
        <v>0</v>
      </c>
    </row>
    <row r="705" spans="1:3">
      <c r="A705" s="58" t="s">
        <v>828</v>
      </c>
      <c r="C705" s="62">
        <f>SUMIF(Produção!C:C,A705,Produção!S:S)</f>
        <v>0</v>
      </c>
    </row>
    <row r="706" spans="1:3">
      <c r="A706" s="57" t="s">
        <v>802</v>
      </c>
      <c r="C706" s="62">
        <f>SUMIF(Produção!C:C,A706,Produção!S:S)</f>
        <v>0</v>
      </c>
    </row>
    <row r="707" spans="1:3">
      <c r="A707" s="58" t="s">
        <v>803</v>
      </c>
      <c r="C707" s="62">
        <f>SUMIF(Produção!C:C,A707,Produção!S:S)</f>
        <v>0</v>
      </c>
    </row>
    <row r="708" spans="1:3">
      <c r="A708" s="57" t="s">
        <v>804</v>
      </c>
      <c r="C708" s="62">
        <f>SUMIF(Produção!C:C,A708,Produção!S:S)</f>
        <v>0</v>
      </c>
    </row>
    <row r="709" spans="1:3">
      <c r="A709" s="58" t="s">
        <v>805</v>
      </c>
      <c r="C709" s="62">
        <f>SUMIF(Produção!C:C,A709,Produção!S:S)</f>
        <v>0</v>
      </c>
    </row>
    <row r="710" spans="1:3">
      <c r="A710" s="57" t="s">
        <v>934</v>
      </c>
      <c r="C710" s="62">
        <f>SUMIF(Produção!C:C,A710,Produção!S:S)</f>
        <v>0</v>
      </c>
    </row>
    <row r="711" spans="1:3">
      <c r="A711" s="60" t="s">
        <v>936</v>
      </c>
      <c r="C711" s="62">
        <f>SUMIF(Produção!C:C,A711,Produção!S:S)</f>
        <v>0</v>
      </c>
    </row>
    <row r="712" spans="1:3">
      <c r="A712" s="61" t="s">
        <v>938</v>
      </c>
      <c r="C712" s="62">
        <f>SUMIF(Produção!C:C,A712,Produção!S:S)</f>
        <v>0</v>
      </c>
    </row>
    <row r="713" spans="1:3">
      <c r="A713" s="65" t="s">
        <v>942</v>
      </c>
      <c r="C713" s="62">
        <f>SUMIF(Produção!C:C,A713,Produção!S:S)</f>
        <v>0</v>
      </c>
    </row>
  </sheetData>
  <sortState ref="C2:C720">
    <sortCondition descending="1" ref="C1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D19E-523F-42A4-909E-FE5864CA13EC}">
  <sheetPr codeName="Planilha10"/>
  <dimension ref="A1:W710"/>
  <sheetViews>
    <sheetView showGridLines="0" zoomScale="115" zoomScaleNormal="115" workbookViewId="0">
      <selection activeCell="C2" sqref="C2"/>
    </sheetView>
  </sheetViews>
  <sheetFormatPr defaultRowHeight="15"/>
  <cols>
    <col min="1" max="1" width="41.5703125" style="66" customWidth="1"/>
    <col min="2" max="2" width="11.140625" style="125" customWidth="1"/>
    <col min="3" max="3" width="22.5703125" style="21" customWidth="1"/>
    <col min="4" max="4" width="0.7109375" style="85" customWidth="1"/>
    <col min="5" max="6" width="0.28515625" style="85" customWidth="1"/>
    <col min="7" max="7" width="22.42578125" style="101" customWidth="1"/>
    <col min="8" max="8" width="22.7109375" style="99" customWidth="1"/>
    <col min="10" max="10" width="11.28515625" customWidth="1"/>
    <col min="11" max="20" width="9.140625" style="183"/>
  </cols>
  <sheetData>
    <row r="1" spans="1:23">
      <c r="A1" s="121" t="s">
        <v>952</v>
      </c>
      <c r="B1" s="181" t="s">
        <v>960</v>
      </c>
      <c r="C1" s="121" t="s">
        <v>961</v>
      </c>
      <c r="E1" s="87"/>
      <c r="G1" s="102" t="s">
        <v>953</v>
      </c>
      <c r="H1" s="100" t="s">
        <v>954</v>
      </c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3"/>
    </row>
    <row r="2" spans="1:23">
      <c r="A2" s="63" t="s">
        <v>190</v>
      </c>
      <c r="B2" s="122">
        <v>614682</v>
      </c>
      <c r="C2" s="89">
        <v>400</v>
      </c>
      <c r="E2" s="83"/>
      <c r="G2" s="88">
        <f>C2-H2</f>
        <v>76</v>
      </c>
      <c r="H2" s="99">
        <v>324</v>
      </c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6"/>
      <c r="W2" s="183"/>
    </row>
    <row r="3" spans="1:23" ht="15" customHeight="1">
      <c r="A3" s="58" t="s">
        <v>191</v>
      </c>
      <c r="B3" s="123">
        <v>610013</v>
      </c>
      <c r="C3" s="117"/>
      <c r="E3" s="83"/>
      <c r="G3" s="88">
        <f t="shared" ref="G3:G66" si="0">C3-H3</f>
        <v>0</v>
      </c>
      <c r="J3" s="188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7"/>
      <c r="V3" s="186"/>
      <c r="W3" s="183"/>
    </row>
    <row r="4" spans="1:23" ht="15" customHeight="1">
      <c r="A4" s="57" t="s">
        <v>192</v>
      </c>
      <c r="B4" s="124">
        <v>610003</v>
      </c>
      <c r="C4" s="118"/>
      <c r="E4" s="83"/>
      <c r="G4" s="88">
        <f t="shared" si="0"/>
        <v>0</v>
      </c>
      <c r="J4" s="190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7"/>
      <c r="V4" s="186"/>
      <c r="W4" s="183"/>
    </row>
    <row r="5" spans="1:23" ht="15" customHeight="1">
      <c r="A5" s="58" t="s">
        <v>193</v>
      </c>
      <c r="B5" s="123">
        <v>610015</v>
      </c>
      <c r="C5" s="118"/>
      <c r="G5" s="88">
        <f t="shared" si="0"/>
        <v>0</v>
      </c>
      <c r="J5" s="188"/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7"/>
      <c r="V5" s="186"/>
      <c r="W5" s="183"/>
    </row>
    <row r="6" spans="1:23">
      <c r="A6" s="57" t="s">
        <v>194</v>
      </c>
      <c r="B6" s="124">
        <v>614890</v>
      </c>
      <c r="C6" s="118"/>
      <c r="G6" s="88">
        <f t="shared" si="0"/>
        <v>0</v>
      </c>
      <c r="J6" s="188"/>
      <c r="K6" s="188"/>
      <c r="L6" s="188"/>
      <c r="M6" s="188"/>
      <c r="N6" s="188"/>
      <c r="O6" s="188"/>
      <c r="P6" s="188"/>
      <c r="Q6" s="188"/>
      <c r="R6" s="188"/>
      <c r="S6" s="187"/>
      <c r="T6" s="187"/>
      <c r="U6" s="187"/>
      <c r="V6" s="186"/>
      <c r="W6" s="183"/>
    </row>
    <row r="7" spans="1:23">
      <c r="A7" s="58" t="s">
        <v>195</v>
      </c>
      <c r="B7" s="123">
        <v>614618</v>
      </c>
      <c r="C7" s="118">
        <v>300</v>
      </c>
      <c r="G7" s="88">
        <f t="shared" si="0"/>
        <v>300</v>
      </c>
      <c r="J7" s="188"/>
      <c r="K7" s="188"/>
      <c r="L7" s="188"/>
      <c r="M7" s="188"/>
      <c r="N7" s="188"/>
      <c r="O7" s="188"/>
      <c r="P7" s="188"/>
      <c r="Q7" s="188"/>
      <c r="R7" s="188"/>
      <c r="S7" s="187"/>
      <c r="T7" s="187"/>
      <c r="U7" s="187"/>
      <c r="V7" s="186"/>
      <c r="W7" s="183"/>
    </row>
    <row r="8" spans="1:23">
      <c r="A8" s="57" t="s">
        <v>196</v>
      </c>
      <c r="B8" s="124">
        <v>614889</v>
      </c>
      <c r="C8" s="118"/>
      <c r="G8" s="88">
        <f t="shared" si="0"/>
        <v>0</v>
      </c>
      <c r="J8" s="188"/>
      <c r="K8" s="85"/>
      <c r="L8" s="191"/>
      <c r="M8" s="85"/>
      <c r="N8" s="187"/>
      <c r="O8" s="85"/>
      <c r="P8" s="85"/>
      <c r="Q8" s="85"/>
      <c r="R8" s="85"/>
      <c r="S8" s="85"/>
      <c r="T8" s="85"/>
      <c r="U8" s="187"/>
      <c r="V8" s="186"/>
      <c r="W8" s="183"/>
    </row>
    <row r="9" spans="1:23">
      <c r="A9" s="58" t="s">
        <v>197</v>
      </c>
      <c r="B9" s="123">
        <v>610016</v>
      </c>
      <c r="C9" s="118"/>
      <c r="G9" s="88">
        <f t="shared" si="0"/>
        <v>0</v>
      </c>
      <c r="J9" s="188"/>
      <c r="K9" s="85"/>
      <c r="L9" s="85"/>
      <c r="M9" s="85"/>
      <c r="N9" s="85"/>
      <c r="O9" s="85"/>
      <c r="P9" s="85"/>
      <c r="Q9" s="85"/>
      <c r="R9" s="85"/>
      <c r="S9" s="85"/>
      <c r="T9" s="85"/>
      <c r="U9" s="187"/>
      <c r="V9" s="186"/>
      <c r="W9" s="183"/>
    </row>
    <row r="10" spans="1:23">
      <c r="A10" s="57" t="s">
        <v>198</v>
      </c>
      <c r="B10" s="124">
        <v>610688</v>
      </c>
      <c r="C10" s="118"/>
      <c r="G10" s="88">
        <f t="shared" si="0"/>
        <v>0</v>
      </c>
      <c r="J10" s="185"/>
      <c r="K10" s="1"/>
      <c r="L10" s="1"/>
      <c r="M10" s="1"/>
      <c r="N10" s="1"/>
      <c r="O10" s="1"/>
      <c r="P10" s="1"/>
      <c r="Q10" s="1"/>
      <c r="R10" s="1"/>
      <c r="S10" s="1"/>
      <c r="T10" s="1"/>
      <c r="U10" s="186"/>
      <c r="V10" s="186"/>
      <c r="W10" s="183"/>
    </row>
    <row r="11" spans="1:23">
      <c r="A11" s="58" t="s">
        <v>199</v>
      </c>
      <c r="B11" s="123">
        <v>610020</v>
      </c>
      <c r="C11" s="118"/>
      <c r="G11" s="88">
        <f t="shared" si="0"/>
        <v>0</v>
      </c>
      <c r="J11" s="185"/>
      <c r="K11" s="1"/>
      <c r="L11" s="1"/>
      <c r="M11" s="1"/>
      <c r="N11" s="1"/>
      <c r="O11" s="1"/>
      <c r="P11" s="1"/>
      <c r="Q11" s="1"/>
      <c r="R11" s="1"/>
      <c r="S11" s="1"/>
      <c r="T11" s="1"/>
      <c r="U11" s="186"/>
      <c r="V11" s="186"/>
      <c r="W11" s="183"/>
    </row>
    <row r="12" spans="1:23">
      <c r="A12" s="57" t="s">
        <v>200</v>
      </c>
      <c r="B12" s="124">
        <v>610021</v>
      </c>
      <c r="C12" s="118"/>
      <c r="G12" s="88">
        <f t="shared" si="0"/>
        <v>0</v>
      </c>
      <c r="J12" s="185"/>
      <c r="K12" s="1"/>
      <c r="L12" s="1"/>
      <c r="M12" s="1"/>
      <c r="N12" s="1"/>
      <c r="O12" s="1"/>
      <c r="P12" s="1"/>
      <c r="Q12" s="1"/>
      <c r="R12" s="1"/>
      <c r="S12" s="1"/>
      <c r="T12" s="1"/>
      <c r="U12" s="186"/>
      <c r="V12" s="186"/>
      <c r="W12" s="183"/>
    </row>
    <row r="13" spans="1:23">
      <c r="A13" s="58" t="s">
        <v>201</v>
      </c>
      <c r="B13" s="123">
        <v>610026</v>
      </c>
      <c r="C13" s="118"/>
      <c r="G13" s="88">
        <f t="shared" si="0"/>
        <v>0</v>
      </c>
      <c r="J13" s="188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187"/>
      <c r="V13" s="187"/>
      <c r="W13" s="184"/>
    </row>
    <row r="14" spans="1:23">
      <c r="A14" s="57" t="s">
        <v>202</v>
      </c>
      <c r="B14" s="124">
        <v>614582</v>
      </c>
      <c r="C14" s="118"/>
      <c r="G14" s="88">
        <f t="shared" si="0"/>
        <v>0</v>
      </c>
      <c r="J14" s="188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187"/>
      <c r="V14" s="187"/>
      <c r="W14" s="184"/>
    </row>
    <row r="15" spans="1:23">
      <c r="A15" s="58" t="s">
        <v>203</v>
      </c>
      <c r="B15" s="123">
        <v>614583</v>
      </c>
      <c r="C15" s="118"/>
      <c r="G15" s="88">
        <f t="shared" si="0"/>
        <v>0</v>
      </c>
      <c r="J15" s="188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187"/>
      <c r="V15" s="187"/>
      <c r="W15" s="184"/>
    </row>
    <row r="16" spans="1:23">
      <c r="A16" s="57" t="s">
        <v>204</v>
      </c>
      <c r="B16" s="124">
        <v>610045</v>
      </c>
      <c r="C16" s="118"/>
      <c r="G16" s="88">
        <f t="shared" si="0"/>
        <v>0</v>
      </c>
      <c r="J16" s="188"/>
      <c r="K16" s="188"/>
      <c r="L16" s="188"/>
      <c r="M16" s="188"/>
      <c r="N16" s="188"/>
      <c r="O16" s="188"/>
      <c r="P16" s="188"/>
      <c r="Q16" s="188"/>
      <c r="R16" s="188"/>
      <c r="S16" s="187"/>
      <c r="T16" s="187"/>
      <c r="U16" s="187"/>
      <c r="V16" s="187"/>
      <c r="W16" s="184"/>
    </row>
    <row r="17" spans="1:23">
      <c r="A17" s="58" t="s">
        <v>205</v>
      </c>
      <c r="B17" s="123">
        <v>610060</v>
      </c>
      <c r="C17" s="118"/>
      <c r="G17" s="88">
        <f t="shared" si="0"/>
        <v>0</v>
      </c>
      <c r="J17" s="188"/>
      <c r="K17" s="188"/>
      <c r="L17" s="188"/>
      <c r="M17" s="188"/>
      <c r="N17" s="188"/>
      <c r="O17" s="188"/>
      <c r="P17" s="188"/>
      <c r="Q17" s="188"/>
      <c r="R17" s="188"/>
      <c r="S17" s="187"/>
      <c r="T17" s="187"/>
      <c r="U17" s="187"/>
      <c r="V17" s="187"/>
      <c r="W17" s="184"/>
    </row>
    <row r="18" spans="1:23">
      <c r="A18" s="57" t="s">
        <v>206</v>
      </c>
      <c r="B18" s="124">
        <v>610762</v>
      </c>
      <c r="C18" s="118"/>
      <c r="G18" s="88">
        <f t="shared" si="0"/>
        <v>0</v>
      </c>
      <c r="J18" s="188"/>
      <c r="K18" s="188"/>
      <c r="L18" s="188"/>
      <c r="M18" s="188"/>
      <c r="N18" s="188"/>
      <c r="O18" s="188"/>
      <c r="P18" s="188"/>
      <c r="Q18" s="188"/>
      <c r="R18" s="188"/>
      <c r="S18" s="187"/>
      <c r="T18" s="187"/>
      <c r="U18" s="187"/>
      <c r="V18" s="187"/>
      <c r="W18" s="184"/>
    </row>
    <row r="19" spans="1:23">
      <c r="A19" s="58" t="s">
        <v>207</v>
      </c>
      <c r="B19" s="123">
        <v>610061</v>
      </c>
      <c r="C19" s="118"/>
      <c r="G19" s="88">
        <f t="shared" si="0"/>
        <v>0</v>
      </c>
      <c r="J19" s="188"/>
      <c r="K19" s="188"/>
      <c r="L19" s="188"/>
      <c r="M19" s="188"/>
      <c r="N19" s="188"/>
      <c r="O19" s="188"/>
      <c r="P19" s="188"/>
      <c r="Q19" s="188"/>
      <c r="R19" s="188"/>
      <c r="S19" s="187"/>
      <c r="T19" s="187"/>
      <c r="U19" s="187"/>
      <c r="V19" s="187"/>
      <c r="W19" s="184"/>
    </row>
    <row r="20" spans="1:23">
      <c r="A20" s="57" t="s">
        <v>208</v>
      </c>
      <c r="B20" s="124">
        <v>610067</v>
      </c>
      <c r="C20" s="118"/>
      <c r="G20" s="88">
        <f t="shared" si="0"/>
        <v>0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7"/>
      <c r="T20" s="187"/>
      <c r="U20" s="187"/>
      <c r="V20" s="187"/>
      <c r="W20" s="184"/>
    </row>
    <row r="21" spans="1:23">
      <c r="A21" s="58" t="s">
        <v>209</v>
      </c>
      <c r="B21" s="123">
        <v>610068</v>
      </c>
      <c r="C21" s="118"/>
      <c r="G21" s="88">
        <f t="shared" si="0"/>
        <v>0</v>
      </c>
      <c r="J21" s="188"/>
      <c r="K21" s="188"/>
      <c r="L21" s="188"/>
      <c r="M21" s="188"/>
      <c r="N21" s="188"/>
      <c r="O21" s="188"/>
      <c r="P21" s="188"/>
      <c r="Q21" s="188"/>
      <c r="R21" s="188"/>
      <c r="S21" s="187"/>
      <c r="T21" s="187"/>
      <c r="U21" s="187"/>
      <c r="V21" s="187"/>
      <c r="W21" s="184"/>
    </row>
    <row r="22" spans="1:23">
      <c r="A22" s="57" t="s">
        <v>210</v>
      </c>
      <c r="B22" s="124">
        <v>610772</v>
      </c>
      <c r="C22" s="118"/>
      <c r="G22" s="88">
        <f t="shared" si="0"/>
        <v>0</v>
      </c>
      <c r="J22" s="188"/>
      <c r="K22" s="188"/>
      <c r="L22" s="188"/>
      <c r="M22" s="188"/>
      <c r="N22" s="188"/>
      <c r="O22" s="188"/>
      <c r="P22" s="188"/>
      <c r="Q22" s="188"/>
      <c r="R22" s="188"/>
      <c r="S22" s="187"/>
      <c r="T22" s="187"/>
      <c r="U22" s="187"/>
      <c r="V22" s="187"/>
      <c r="W22" s="184"/>
    </row>
    <row r="23" spans="1:23">
      <c r="A23" s="58" t="s">
        <v>211</v>
      </c>
      <c r="B23" s="123">
        <v>610082</v>
      </c>
      <c r="C23" s="118"/>
      <c r="G23" s="88">
        <f t="shared" si="0"/>
        <v>0</v>
      </c>
      <c r="J23" s="188"/>
      <c r="K23" s="188"/>
      <c r="L23" s="188"/>
      <c r="M23" s="188"/>
      <c r="N23" s="188"/>
      <c r="O23" s="188"/>
      <c r="P23" s="188"/>
      <c r="Q23" s="188"/>
      <c r="R23" s="188"/>
      <c r="S23" s="187"/>
      <c r="T23" s="187"/>
      <c r="U23" s="187"/>
      <c r="V23" s="187"/>
      <c r="W23" s="184"/>
    </row>
    <row r="24" spans="1:23">
      <c r="A24" s="57" t="s">
        <v>212</v>
      </c>
      <c r="B24" s="124">
        <v>610087</v>
      </c>
      <c r="C24" s="118"/>
      <c r="G24" s="88">
        <f t="shared" si="0"/>
        <v>0</v>
      </c>
      <c r="J24" s="185"/>
      <c r="K24" s="185"/>
      <c r="L24" s="185"/>
      <c r="M24" s="185"/>
      <c r="N24" s="185"/>
      <c r="O24" s="185"/>
      <c r="P24" s="185"/>
      <c r="Q24" s="185"/>
      <c r="R24" s="185"/>
      <c r="S24" s="186"/>
      <c r="T24" s="186"/>
      <c r="U24" s="186"/>
      <c r="V24" s="186"/>
      <c r="W24" s="183"/>
    </row>
    <row r="25" spans="1:23">
      <c r="A25" s="58" t="s">
        <v>213</v>
      </c>
      <c r="B25" s="123">
        <v>610832</v>
      </c>
      <c r="C25" s="118"/>
      <c r="G25" s="88">
        <f t="shared" si="0"/>
        <v>0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6"/>
      <c r="T25" s="186"/>
      <c r="U25" s="186"/>
      <c r="V25" s="183"/>
      <c r="W25" s="183"/>
    </row>
    <row r="26" spans="1:23">
      <c r="A26" s="57" t="s">
        <v>214</v>
      </c>
      <c r="B26" s="124">
        <v>610835</v>
      </c>
      <c r="C26" s="118"/>
      <c r="G26" s="88">
        <f t="shared" si="0"/>
        <v>0</v>
      </c>
      <c r="J26" s="183"/>
      <c r="U26" s="183"/>
      <c r="V26" s="183"/>
      <c r="W26" s="183"/>
    </row>
    <row r="27" spans="1:23">
      <c r="A27" s="58" t="s">
        <v>215</v>
      </c>
      <c r="B27" s="123">
        <v>614601</v>
      </c>
      <c r="C27" s="118"/>
      <c r="G27" s="88">
        <f t="shared" si="0"/>
        <v>0</v>
      </c>
      <c r="J27" s="183"/>
      <c r="U27" s="183"/>
      <c r="V27" s="183"/>
      <c r="W27" s="183"/>
    </row>
    <row r="28" spans="1:23">
      <c r="A28" s="57" t="s">
        <v>216</v>
      </c>
      <c r="B28" s="124">
        <v>610868</v>
      </c>
      <c r="C28" s="118"/>
      <c r="G28" s="88">
        <f t="shared" si="0"/>
        <v>0</v>
      </c>
      <c r="J28" s="183"/>
      <c r="U28" s="183"/>
      <c r="V28" s="183"/>
      <c r="W28" s="183"/>
    </row>
    <row r="29" spans="1:23">
      <c r="A29" s="58" t="s">
        <v>217</v>
      </c>
      <c r="B29" s="123">
        <v>614708</v>
      </c>
      <c r="C29" s="118"/>
      <c r="G29" s="88">
        <f t="shared" si="0"/>
        <v>0</v>
      </c>
      <c r="J29" s="183"/>
      <c r="U29" s="183"/>
      <c r="V29" s="183"/>
      <c r="W29" s="183"/>
    </row>
    <row r="30" spans="1:23">
      <c r="A30" s="57" t="s">
        <v>218</v>
      </c>
      <c r="B30" s="124">
        <v>610121</v>
      </c>
      <c r="C30" s="118"/>
      <c r="G30" s="88">
        <f t="shared" si="0"/>
        <v>0</v>
      </c>
      <c r="J30" s="183"/>
      <c r="U30" s="183"/>
      <c r="V30" s="183"/>
      <c r="W30" s="183"/>
    </row>
    <row r="31" spans="1:23">
      <c r="A31" s="58" t="s">
        <v>219</v>
      </c>
      <c r="B31" s="123">
        <v>610123</v>
      </c>
      <c r="C31" s="118"/>
      <c r="G31" s="88">
        <f t="shared" si="0"/>
        <v>0</v>
      </c>
      <c r="J31" s="183"/>
      <c r="U31" s="183"/>
      <c r="V31" s="183"/>
      <c r="W31" s="183"/>
    </row>
    <row r="32" spans="1:23">
      <c r="A32" s="57" t="s">
        <v>220</v>
      </c>
      <c r="B32" s="124">
        <v>610125</v>
      </c>
      <c r="C32" s="118"/>
      <c r="G32" s="88">
        <f t="shared" si="0"/>
        <v>0</v>
      </c>
      <c r="J32" s="183"/>
      <c r="U32" s="183"/>
      <c r="V32" s="183"/>
      <c r="W32" s="183"/>
    </row>
    <row r="33" spans="1:23">
      <c r="A33" s="58" t="s">
        <v>221</v>
      </c>
      <c r="B33" s="123">
        <v>610126</v>
      </c>
      <c r="C33" s="118"/>
      <c r="G33" s="88">
        <f t="shared" si="0"/>
        <v>0</v>
      </c>
      <c r="J33" s="183"/>
      <c r="U33" s="183"/>
      <c r="V33" s="183"/>
      <c r="W33" s="183"/>
    </row>
    <row r="34" spans="1:23">
      <c r="A34" s="57" t="s">
        <v>222</v>
      </c>
      <c r="B34" s="124">
        <v>610357</v>
      </c>
      <c r="C34" s="118"/>
      <c r="G34" s="88">
        <f t="shared" si="0"/>
        <v>0</v>
      </c>
    </row>
    <row r="35" spans="1:23">
      <c r="A35" s="58" t="s">
        <v>223</v>
      </c>
      <c r="B35" s="123">
        <v>610873</v>
      </c>
      <c r="C35" s="118"/>
      <c r="G35" s="88">
        <f t="shared" si="0"/>
        <v>0</v>
      </c>
    </row>
    <row r="36" spans="1:23">
      <c r="A36" s="57" t="s">
        <v>224</v>
      </c>
      <c r="B36" s="124">
        <v>614646</v>
      </c>
      <c r="C36" s="118"/>
      <c r="G36" s="88">
        <f t="shared" si="0"/>
        <v>0</v>
      </c>
    </row>
    <row r="37" spans="1:23">
      <c r="A37" s="58" t="s">
        <v>225</v>
      </c>
      <c r="B37" s="123">
        <v>614603</v>
      </c>
      <c r="C37" s="118">
        <v>600</v>
      </c>
      <c r="G37" s="88">
        <f t="shared" si="0"/>
        <v>600</v>
      </c>
    </row>
    <row r="38" spans="1:23">
      <c r="A38" s="57" t="s">
        <v>226</v>
      </c>
      <c r="B38" s="124">
        <v>610128</v>
      </c>
      <c r="C38" s="118"/>
      <c r="G38" s="88">
        <f t="shared" si="0"/>
        <v>0</v>
      </c>
    </row>
    <row r="39" spans="1:23">
      <c r="A39" s="58" t="s">
        <v>227</v>
      </c>
      <c r="B39" s="123">
        <v>610131</v>
      </c>
      <c r="C39" s="118"/>
      <c r="G39" s="88">
        <f t="shared" si="0"/>
        <v>0</v>
      </c>
    </row>
    <row r="40" spans="1:23">
      <c r="A40" s="57" t="s">
        <v>228</v>
      </c>
      <c r="B40" s="124">
        <v>610136</v>
      </c>
      <c r="C40" s="118"/>
      <c r="G40" s="88">
        <f t="shared" si="0"/>
        <v>0</v>
      </c>
    </row>
    <row r="41" spans="1:23">
      <c r="A41" s="58" t="s">
        <v>229</v>
      </c>
      <c r="B41" s="123">
        <v>610141</v>
      </c>
      <c r="C41" s="118"/>
      <c r="G41" s="88">
        <f t="shared" si="0"/>
        <v>0</v>
      </c>
    </row>
    <row r="42" spans="1:23">
      <c r="A42" s="57" t="s">
        <v>230</v>
      </c>
      <c r="B42" s="124">
        <v>614592</v>
      </c>
      <c r="C42" s="118"/>
      <c r="G42" s="88">
        <f t="shared" si="0"/>
        <v>0</v>
      </c>
    </row>
    <row r="43" spans="1:23">
      <c r="A43" s="58" t="s">
        <v>231</v>
      </c>
      <c r="B43" s="123">
        <v>610146</v>
      </c>
      <c r="C43" s="118"/>
      <c r="G43" s="88">
        <f t="shared" si="0"/>
        <v>0</v>
      </c>
    </row>
    <row r="44" spans="1:23">
      <c r="A44" s="57" t="s">
        <v>232</v>
      </c>
      <c r="B44" s="124">
        <v>610147</v>
      </c>
      <c r="C44" s="118"/>
      <c r="G44" s="88">
        <f t="shared" si="0"/>
        <v>0</v>
      </c>
    </row>
    <row r="45" spans="1:23">
      <c r="A45" s="58" t="s">
        <v>233</v>
      </c>
      <c r="B45" s="123">
        <v>610148</v>
      </c>
      <c r="C45" s="118"/>
      <c r="G45" s="88">
        <f t="shared" si="0"/>
        <v>0</v>
      </c>
    </row>
    <row r="46" spans="1:23">
      <c r="A46" s="57" t="s">
        <v>234</v>
      </c>
      <c r="B46" s="124">
        <v>610910</v>
      </c>
      <c r="C46" s="118"/>
      <c r="G46" s="88">
        <f t="shared" si="0"/>
        <v>0</v>
      </c>
    </row>
    <row r="47" spans="1:23">
      <c r="A47" s="58" t="s">
        <v>235</v>
      </c>
      <c r="B47" s="123">
        <v>610150</v>
      </c>
      <c r="C47" s="118"/>
      <c r="G47" s="88">
        <f t="shared" si="0"/>
        <v>0</v>
      </c>
    </row>
    <row r="48" spans="1:23">
      <c r="A48" s="57" t="s">
        <v>236</v>
      </c>
      <c r="B48" s="124">
        <v>610165</v>
      </c>
      <c r="C48" s="118"/>
      <c r="G48" s="88">
        <f t="shared" si="0"/>
        <v>0</v>
      </c>
    </row>
    <row r="49" spans="1:7">
      <c r="A49" s="58" t="s">
        <v>237</v>
      </c>
      <c r="B49" s="123">
        <v>614585</v>
      </c>
      <c r="C49" s="118"/>
      <c r="G49" s="88">
        <f t="shared" si="0"/>
        <v>0</v>
      </c>
    </row>
    <row r="50" spans="1:7">
      <c r="A50" s="57" t="s">
        <v>238</v>
      </c>
      <c r="B50" s="124">
        <v>610976</v>
      </c>
      <c r="C50" s="118"/>
      <c r="G50" s="88">
        <f t="shared" si="0"/>
        <v>0</v>
      </c>
    </row>
    <row r="51" spans="1:7">
      <c r="A51" s="58" t="s">
        <v>239</v>
      </c>
      <c r="B51" s="123">
        <v>610188</v>
      </c>
      <c r="C51" s="118"/>
      <c r="G51" s="88">
        <f t="shared" si="0"/>
        <v>0</v>
      </c>
    </row>
    <row r="52" spans="1:7">
      <c r="A52" s="57" t="s">
        <v>240</v>
      </c>
      <c r="B52" s="124">
        <v>610189</v>
      </c>
      <c r="C52" s="118"/>
      <c r="G52" s="88">
        <f t="shared" si="0"/>
        <v>0</v>
      </c>
    </row>
    <row r="53" spans="1:7">
      <c r="A53" s="58" t="s">
        <v>241</v>
      </c>
      <c r="B53" s="123">
        <v>610981</v>
      </c>
      <c r="C53" s="118"/>
      <c r="G53" s="88">
        <f t="shared" si="0"/>
        <v>0</v>
      </c>
    </row>
    <row r="54" spans="1:7">
      <c r="A54" s="57" t="s">
        <v>242</v>
      </c>
      <c r="B54" s="124">
        <v>610192</v>
      </c>
      <c r="C54" s="118"/>
      <c r="G54" s="88">
        <f t="shared" si="0"/>
        <v>0</v>
      </c>
    </row>
    <row r="55" spans="1:7">
      <c r="A55" s="58" t="s">
        <v>243</v>
      </c>
      <c r="B55" s="123">
        <v>610984</v>
      </c>
      <c r="C55" s="118"/>
      <c r="G55" s="88">
        <f t="shared" si="0"/>
        <v>0</v>
      </c>
    </row>
    <row r="56" spans="1:7">
      <c r="A56" s="57" t="s">
        <v>244</v>
      </c>
      <c r="B56" s="124">
        <v>610996</v>
      </c>
      <c r="C56" s="118"/>
      <c r="G56" s="88">
        <f t="shared" si="0"/>
        <v>0</v>
      </c>
    </row>
    <row r="57" spans="1:7">
      <c r="A57" s="58" t="s">
        <v>245</v>
      </c>
      <c r="B57" s="123">
        <v>610205</v>
      </c>
      <c r="C57" s="118"/>
      <c r="G57" s="88">
        <f t="shared" si="0"/>
        <v>0</v>
      </c>
    </row>
    <row r="58" spans="1:7">
      <c r="A58" s="57" t="s">
        <v>246</v>
      </c>
      <c r="B58" s="124">
        <v>614888</v>
      </c>
      <c r="C58" s="118"/>
      <c r="G58" s="88">
        <f t="shared" si="0"/>
        <v>0</v>
      </c>
    </row>
    <row r="59" spans="1:7">
      <c r="A59" s="58" t="s">
        <v>247</v>
      </c>
      <c r="B59" s="123">
        <v>614591</v>
      </c>
      <c r="C59" s="118"/>
      <c r="G59" s="88">
        <f t="shared" si="0"/>
        <v>0</v>
      </c>
    </row>
    <row r="60" spans="1:7">
      <c r="A60" s="57" t="s">
        <v>248</v>
      </c>
      <c r="B60" s="124">
        <v>610226</v>
      </c>
      <c r="C60" s="118"/>
      <c r="G60" s="88">
        <f t="shared" si="0"/>
        <v>0</v>
      </c>
    </row>
    <row r="61" spans="1:7">
      <c r="A61" s="58" t="s">
        <v>249</v>
      </c>
      <c r="B61" s="123">
        <v>611048</v>
      </c>
      <c r="C61" s="118"/>
      <c r="G61" s="88">
        <f t="shared" si="0"/>
        <v>0</v>
      </c>
    </row>
    <row r="62" spans="1:7">
      <c r="A62" s="57" t="s">
        <v>250</v>
      </c>
      <c r="B62" s="124">
        <v>613640</v>
      </c>
      <c r="C62" s="118"/>
      <c r="G62" s="88">
        <f t="shared" si="0"/>
        <v>0</v>
      </c>
    </row>
    <row r="63" spans="1:7">
      <c r="A63" s="58" t="s">
        <v>251</v>
      </c>
      <c r="B63" s="123">
        <v>610228</v>
      </c>
      <c r="C63" s="118"/>
      <c r="G63" s="88">
        <f t="shared" si="0"/>
        <v>0</v>
      </c>
    </row>
    <row r="64" spans="1:7">
      <c r="A64" s="57" t="s">
        <v>252</v>
      </c>
      <c r="B64" s="124">
        <v>611050</v>
      </c>
      <c r="C64" s="118"/>
      <c r="G64" s="88">
        <f t="shared" si="0"/>
        <v>0</v>
      </c>
    </row>
    <row r="65" spans="1:7">
      <c r="A65" s="58" t="s">
        <v>253</v>
      </c>
      <c r="B65" s="123">
        <v>611052</v>
      </c>
      <c r="C65" s="118"/>
      <c r="G65" s="88">
        <f t="shared" si="0"/>
        <v>0</v>
      </c>
    </row>
    <row r="66" spans="1:7">
      <c r="A66" s="57" t="s">
        <v>254</v>
      </c>
      <c r="B66" s="124">
        <v>610231</v>
      </c>
      <c r="C66" s="118"/>
      <c r="G66" s="88">
        <f t="shared" si="0"/>
        <v>0</v>
      </c>
    </row>
    <row r="67" spans="1:7">
      <c r="A67" s="58" t="s">
        <v>255</v>
      </c>
      <c r="B67" s="123">
        <v>611053</v>
      </c>
      <c r="C67" s="118"/>
      <c r="G67" s="88">
        <f t="shared" ref="G67:G130" si="1">C67-H67</f>
        <v>0</v>
      </c>
    </row>
    <row r="68" spans="1:7">
      <c r="A68" s="57" t="s">
        <v>256</v>
      </c>
      <c r="B68" s="124">
        <v>610232</v>
      </c>
      <c r="C68" s="118"/>
      <c r="G68" s="88">
        <f t="shared" si="1"/>
        <v>0</v>
      </c>
    </row>
    <row r="69" spans="1:7">
      <c r="A69" s="58" t="s">
        <v>257</v>
      </c>
      <c r="B69" s="123">
        <v>611056</v>
      </c>
      <c r="C69" s="118"/>
      <c r="G69" s="88">
        <f t="shared" si="1"/>
        <v>0</v>
      </c>
    </row>
    <row r="70" spans="1:7">
      <c r="A70" s="57" t="s">
        <v>258</v>
      </c>
      <c r="B70" s="124">
        <v>610235</v>
      </c>
      <c r="C70" s="118"/>
      <c r="G70" s="88">
        <f t="shared" si="1"/>
        <v>0</v>
      </c>
    </row>
    <row r="71" spans="1:7">
      <c r="A71" s="58" t="s">
        <v>259</v>
      </c>
      <c r="B71" s="123">
        <v>610236</v>
      </c>
      <c r="C71" s="118"/>
      <c r="G71" s="88">
        <f t="shared" si="1"/>
        <v>0</v>
      </c>
    </row>
    <row r="72" spans="1:7">
      <c r="A72" s="57" t="s">
        <v>260</v>
      </c>
      <c r="B72" s="124">
        <v>610467</v>
      </c>
      <c r="C72" s="118"/>
      <c r="G72" s="88">
        <f t="shared" si="1"/>
        <v>0</v>
      </c>
    </row>
    <row r="73" spans="1:7">
      <c r="A73" s="58" t="s">
        <v>261</v>
      </c>
      <c r="B73" s="123">
        <v>611058</v>
      </c>
      <c r="C73" s="118"/>
      <c r="G73" s="88">
        <f t="shared" si="1"/>
        <v>0</v>
      </c>
    </row>
    <row r="74" spans="1:7">
      <c r="A74" s="57" t="s">
        <v>262</v>
      </c>
      <c r="B74" s="124">
        <v>611060</v>
      </c>
      <c r="C74" s="118"/>
      <c r="G74" s="88">
        <f t="shared" si="1"/>
        <v>0</v>
      </c>
    </row>
    <row r="75" spans="1:7">
      <c r="A75" s="58" t="s">
        <v>263</v>
      </c>
      <c r="B75" s="123">
        <v>610241</v>
      </c>
      <c r="C75" s="118"/>
      <c r="G75" s="88">
        <f t="shared" si="1"/>
        <v>0</v>
      </c>
    </row>
    <row r="76" spans="1:7">
      <c r="A76" s="57" t="s">
        <v>264</v>
      </c>
      <c r="B76" s="124">
        <v>611063</v>
      </c>
      <c r="C76" s="118"/>
      <c r="G76" s="88">
        <f t="shared" si="1"/>
        <v>0</v>
      </c>
    </row>
    <row r="77" spans="1:7">
      <c r="A77" s="58" t="s">
        <v>265</v>
      </c>
      <c r="B77" s="123">
        <v>613655</v>
      </c>
      <c r="C77" s="118"/>
      <c r="G77" s="88">
        <f t="shared" si="1"/>
        <v>0</v>
      </c>
    </row>
    <row r="78" spans="1:7">
      <c r="A78" s="57" t="s">
        <v>266</v>
      </c>
      <c r="B78" s="124">
        <v>611068</v>
      </c>
      <c r="C78" s="118"/>
      <c r="G78" s="88">
        <f t="shared" si="1"/>
        <v>0</v>
      </c>
    </row>
    <row r="79" spans="1:7">
      <c r="A79" s="58" t="s">
        <v>267</v>
      </c>
      <c r="B79" s="123">
        <v>613660</v>
      </c>
      <c r="C79" s="118"/>
      <c r="G79" s="88">
        <f t="shared" si="1"/>
        <v>0</v>
      </c>
    </row>
    <row r="80" spans="1:7">
      <c r="A80" s="57" t="s">
        <v>268</v>
      </c>
      <c r="B80" s="124">
        <v>611070</v>
      </c>
      <c r="C80" s="118"/>
      <c r="G80" s="88">
        <f t="shared" si="1"/>
        <v>0</v>
      </c>
    </row>
    <row r="81" spans="1:7">
      <c r="A81" s="58" t="s">
        <v>269</v>
      </c>
      <c r="B81" s="123">
        <v>611078</v>
      </c>
      <c r="C81" s="118"/>
      <c r="G81" s="88">
        <f t="shared" si="1"/>
        <v>0</v>
      </c>
    </row>
    <row r="82" spans="1:7">
      <c r="A82" s="57" t="s">
        <v>270</v>
      </c>
      <c r="B82" s="124">
        <v>614623</v>
      </c>
      <c r="C82" s="118"/>
      <c r="G82" s="88">
        <f t="shared" si="1"/>
        <v>0</v>
      </c>
    </row>
    <row r="83" spans="1:7">
      <c r="A83" s="58" t="s">
        <v>271</v>
      </c>
      <c r="B83" s="123">
        <v>611128</v>
      </c>
      <c r="C83" s="118"/>
      <c r="G83" s="88">
        <f t="shared" si="1"/>
        <v>0</v>
      </c>
    </row>
    <row r="84" spans="1:7">
      <c r="A84" s="57" t="s">
        <v>272</v>
      </c>
      <c r="B84" s="124">
        <v>614712</v>
      </c>
      <c r="C84" s="118"/>
      <c r="G84" s="88">
        <f t="shared" si="1"/>
        <v>0</v>
      </c>
    </row>
    <row r="85" spans="1:7">
      <c r="A85" s="58" t="s">
        <v>273</v>
      </c>
      <c r="B85" s="123">
        <v>614624</v>
      </c>
      <c r="C85" s="118"/>
      <c r="G85" s="88">
        <f t="shared" si="1"/>
        <v>0</v>
      </c>
    </row>
    <row r="86" spans="1:7">
      <c r="A86" s="57" t="s">
        <v>274</v>
      </c>
      <c r="B86" s="124">
        <v>611161</v>
      </c>
      <c r="C86" s="118"/>
      <c r="G86" s="88">
        <f t="shared" si="1"/>
        <v>0</v>
      </c>
    </row>
    <row r="87" spans="1:7">
      <c r="A87" s="58" t="s">
        <v>275</v>
      </c>
      <c r="B87" s="123">
        <v>611165</v>
      </c>
      <c r="C87" s="118"/>
      <c r="G87" s="88">
        <f t="shared" si="1"/>
        <v>0</v>
      </c>
    </row>
    <row r="88" spans="1:7">
      <c r="A88" s="57" t="s">
        <v>276</v>
      </c>
      <c r="B88" s="124">
        <v>614674</v>
      </c>
      <c r="C88" s="118"/>
      <c r="G88" s="88">
        <f t="shared" si="1"/>
        <v>0</v>
      </c>
    </row>
    <row r="89" spans="1:7">
      <c r="A89" s="58" t="s">
        <v>277</v>
      </c>
      <c r="B89" s="123">
        <v>614611</v>
      </c>
      <c r="C89" s="118"/>
      <c r="G89" s="88">
        <f t="shared" si="1"/>
        <v>0</v>
      </c>
    </row>
    <row r="90" spans="1:7">
      <c r="A90" s="57" t="s">
        <v>278</v>
      </c>
      <c r="B90" s="124">
        <v>611197</v>
      </c>
      <c r="C90" s="118"/>
      <c r="G90" s="88">
        <f t="shared" si="1"/>
        <v>0</v>
      </c>
    </row>
    <row r="91" spans="1:7">
      <c r="A91" s="58" t="s">
        <v>279</v>
      </c>
      <c r="B91" s="123">
        <v>614614</v>
      </c>
      <c r="C91" s="118"/>
      <c r="G91" s="88">
        <f t="shared" si="1"/>
        <v>0</v>
      </c>
    </row>
    <row r="92" spans="1:7">
      <c r="A92" s="57" t="s">
        <v>280</v>
      </c>
      <c r="B92" s="124">
        <v>611228</v>
      </c>
      <c r="C92" s="118"/>
      <c r="G92" s="88">
        <f t="shared" si="1"/>
        <v>0</v>
      </c>
    </row>
    <row r="93" spans="1:7">
      <c r="A93" s="58" t="s">
        <v>281</v>
      </c>
      <c r="B93" s="123">
        <v>614626</v>
      </c>
      <c r="C93" s="118"/>
      <c r="G93" s="88">
        <f t="shared" si="1"/>
        <v>0</v>
      </c>
    </row>
    <row r="94" spans="1:7">
      <c r="A94" s="57" t="s">
        <v>282</v>
      </c>
      <c r="B94" s="124">
        <v>611230</v>
      </c>
      <c r="C94" s="118"/>
      <c r="G94" s="88">
        <f t="shared" si="1"/>
        <v>0</v>
      </c>
    </row>
    <row r="95" spans="1:7">
      <c r="A95" s="58" t="s">
        <v>283</v>
      </c>
      <c r="B95" s="123">
        <v>611231</v>
      </c>
      <c r="C95" s="118"/>
      <c r="G95" s="88">
        <f t="shared" si="1"/>
        <v>0</v>
      </c>
    </row>
    <row r="96" spans="1:7">
      <c r="A96" s="57" t="s">
        <v>284</v>
      </c>
      <c r="B96" s="124">
        <v>614602</v>
      </c>
      <c r="C96" s="118"/>
      <c r="G96" s="88">
        <f t="shared" si="1"/>
        <v>0</v>
      </c>
    </row>
    <row r="97" spans="1:8">
      <c r="A97" s="58" t="s">
        <v>285</v>
      </c>
      <c r="B97" s="123">
        <v>611233</v>
      </c>
      <c r="C97" s="118"/>
      <c r="G97" s="88">
        <f t="shared" si="1"/>
        <v>0</v>
      </c>
    </row>
    <row r="98" spans="1:8">
      <c r="A98" s="57" t="s">
        <v>286</v>
      </c>
      <c r="B98" s="124">
        <v>613825</v>
      </c>
      <c r="C98" s="118"/>
      <c r="G98" s="88">
        <f t="shared" si="1"/>
        <v>0</v>
      </c>
    </row>
    <row r="99" spans="1:8">
      <c r="A99" s="58" t="s">
        <v>287</v>
      </c>
      <c r="B99" s="123">
        <v>614621</v>
      </c>
      <c r="C99" s="118"/>
      <c r="G99" s="88">
        <f t="shared" si="1"/>
        <v>0</v>
      </c>
    </row>
    <row r="100" spans="1:8">
      <c r="A100" s="57" t="s">
        <v>288</v>
      </c>
      <c r="B100" s="124">
        <v>611235</v>
      </c>
      <c r="C100" s="118"/>
      <c r="G100" s="88">
        <f t="shared" si="1"/>
        <v>0</v>
      </c>
    </row>
    <row r="101" spans="1:8">
      <c r="A101" s="58" t="s">
        <v>289</v>
      </c>
      <c r="B101" s="123">
        <v>611236</v>
      </c>
      <c r="C101" s="118"/>
      <c r="G101" s="88">
        <f t="shared" si="1"/>
        <v>0</v>
      </c>
    </row>
    <row r="102" spans="1:8">
      <c r="A102" s="57" t="s">
        <v>290</v>
      </c>
      <c r="B102" s="124">
        <v>614622</v>
      </c>
      <c r="C102" s="118"/>
      <c r="G102" s="88">
        <f t="shared" si="1"/>
        <v>0</v>
      </c>
    </row>
    <row r="103" spans="1:8">
      <c r="A103" s="58" t="s">
        <v>291</v>
      </c>
      <c r="B103" s="123">
        <v>611237</v>
      </c>
      <c r="C103" s="118"/>
      <c r="G103" s="88">
        <f t="shared" si="1"/>
        <v>0</v>
      </c>
    </row>
    <row r="104" spans="1:8">
      <c r="A104" s="57" t="s">
        <v>292</v>
      </c>
      <c r="B104" s="124">
        <v>614613</v>
      </c>
      <c r="C104" s="118"/>
      <c r="G104" s="88">
        <f t="shared" si="1"/>
        <v>0</v>
      </c>
    </row>
    <row r="105" spans="1:8">
      <c r="A105" s="58" t="s">
        <v>293</v>
      </c>
      <c r="B105" s="123">
        <v>611238</v>
      </c>
      <c r="C105" s="118"/>
      <c r="G105" s="88">
        <f t="shared" si="1"/>
        <v>0</v>
      </c>
    </row>
    <row r="106" spans="1:8">
      <c r="A106" s="57" t="s">
        <v>294</v>
      </c>
      <c r="B106" s="124">
        <v>614588</v>
      </c>
      <c r="C106" s="118"/>
      <c r="G106" s="88">
        <f t="shared" si="1"/>
        <v>0</v>
      </c>
    </row>
    <row r="107" spans="1:8">
      <c r="A107" s="58" t="s">
        <v>295</v>
      </c>
      <c r="B107" s="123">
        <v>611241</v>
      </c>
      <c r="C107" s="118"/>
      <c r="G107" s="88">
        <f t="shared" si="1"/>
        <v>0</v>
      </c>
    </row>
    <row r="108" spans="1:8">
      <c r="A108" s="57" t="s">
        <v>296</v>
      </c>
      <c r="B108" s="124">
        <v>614688</v>
      </c>
      <c r="C108" s="118"/>
      <c r="G108" s="88">
        <f t="shared" si="1"/>
        <v>0</v>
      </c>
    </row>
    <row r="109" spans="1:8">
      <c r="A109" s="58" t="s">
        <v>297</v>
      </c>
      <c r="B109" s="123">
        <v>614576</v>
      </c>
      <c r="C109" s="118"/>
      <c r="G109" s="88">
        <f t="shared" si="1"/>
        <v>0</v>
      </c>
    </row>
    <row r="110" spans="1:8">
      <c r="A110" s="57" t="s">
        <v>298</v>
      </c>
      <c r="B110" s="124">
        <v>614579</v>
      </c>
      <c r="C110" s="118">
        <v>500</v>
      </c>
      <c r="G110" s="88">
        <f t="shared" si="1"/>
        <v>490</v>
      </c>
      <c r="H110" s="99">
        <v>10</v>
      </c>
    </row>
    <row r="111" spans="1:8">
      <c r="A111" s="58" t="s">
        <v>299</v>
      </c>
      <c r="B111" s="123">
        <v>610577</v>
      </c>
      <c r="C111" s="118"/>
      <c r="G111" s="88">
        <f t="shared" si="1"/>
        <v>0</v>
      </c>
    </row>
    <row r="112" spans="1:8">
      <c r="A112" s="57" t="s">
        <v>300</v>
      </c>
      <c r="B112" s="124">
        <v>611243</v>
      </c>
      <c r="C112" s="118"/>
      <c r="G112" s="88">
        <f t="shared" si="1"/>
        <v>0</v>
      </c>
    </row>
    <row r="113" spans="1:7">
      <c r="A113" s="58" t="s">
        <v>301</v>
      </c>
      <c r="B113" s="123">
        <v>613835</v>
      </c>
      <c r="C113" s="118"/>
      <c r="G113" s="88">
        <f t="shared" si="1"/>
        <v>0</v>
      </c>
    </row>
    <row r="114" spans="1:7">
      <c r="A114" s="57" t="s">
        <v>302</v>
      </c>
      <c r="B114" s="124">
        <v>611246</v>
      </c>
      <c r="C114" s="118"/>
      <c r="G114" s="88">
        <f t="shared" si="1"/>
        <v>0</v>
      </c>
    </row>
    <row r="115" spans="1:7">
      <c r="A115" s="58" t="s">
        <v>303</v>
      </c>
      <c r="B115" s="123">
        <v>614609</v>
      </c>
      <c r="C115" s="118"/>
      <c r="G115" s="88">
        <f t="shared" si="1"/>
        <v>0</v>
      </c>
    </row>
    <row r="116" spans="1:7">
      <c r="A116" s="57" t="s">
        <v>304</v>
      </c>
      <c r="B116" s="124">
        <v>611248</v>
      </c>
      <c r="C116" s="118"/>
      <c r="G116" s="88">
        <f t="shared" si="1"/>
        <v>0</v>
      </c>
    </row>
    <row r="117" spans="1:7">
      <c r="A117" s="58" t="s">
        <v>305</v>
      </c>
      <c r="B117" s="123">
        <v>613840</v>
      </c>
      <c r="C117" s="118"/>
      <c r="G117" s="88">
        <f t="shared" si="1"/>
        <v>0</v>
      </c>
    </row>
    <row r="118" spans="1:7">
      <c r="A118" s="57" t="s">
        <v>306</v>
      </c>
      <c r="B118" s="124">
        <v>611253</v>
      </c>
      <c r="C118" s="118"/>
      <c r="G118" s="88">
        <f t="shared" si="1"/>
        <v>0</v>
      </c>
    </row>
    <row r="119" spans="1:7">
      <c r="A119" s="58" t="s">
        <v>307</v>
      </c>
      <c r="B119" s="123">
        <v>611258</v>
      </c>
      <c r="C119" s="118"/>
      <c r="G119" s="88">
        <f t="shared" si="1"/>
        <v>0</v>
      </c>
    </row>
    <row r="120" spans="1:7">
      <c r="A120" s="57" t="s">
        <v>308</v>
      </c>
      <c r="B120" s="124">
        <v>614595</v>
      </c>
      <c r="C120" s="118"/>
      <c r="G120" s="88">
        <f t="shared" si="1"/>
        <v>0</v>
      </c>
    </row>
    <row r="121" spans="1:7">
      <c r="A121" s="58" t="s">
        <v>309</v>
      </c>
      <c r="B121" s="123">
        <v>611269</v>
      </c>
      <c r="C121" s="118"/>
      <c r="G121" s="88">
        <f t="shared" si="1"/>
        <v>0</v>
      </c>
    </row>
    <row r="122" spans="1:7">
      <c r="A122" s="57" t="s">
        <v>310</v>
      </c>
      <c r="B122" s="124">
        <v>611280</v>
      </c>
      <c r="C122" s="118"/>
      <c r="G122" s="88">
        <f t="shared" si="1"/>
        <v>0</v>
      </c>
    </row>
    <row r="123" spans="1:7">
      <c r="A123" s="58" t="s">
        <v>311</v>
      </c>
      <c r="B123" s="123">
        <v>611284</v>
      </c>
      <c r="C123" s="118"/>
      <c r="G123" s="88">
        <f t="shared" si="1"/>
        <v>0</v>
      </c>
    </row>
    <row r="124" spans="1:7">
      <c r="A124" s="57" t="s">
        <v>312</v>
      </c>
      <c r="B124" s="124">
        <v>611305</v>
      </c>
      <c r="C124" s="118"/>
      <c r="G124" s="88">
        <f t="shared" si="1"/>
        <v>0</v>
      </c>
    </row>
    <row r="125" spans="1:7">
      <c r="A125" s="58" t="s">
        <v>313</v>
      </c>
      <c r="B125" s="123">
        <v>611310</v>
      </c>
      <c r="C125" s="118"/>
      <c r="G125" s="88">
        <f t="shared" si="1"/>
        <v>0</v>
      </c>
    </row>
    <row r="126" spans="1:7">
      <c r="A126" s="57" t="s">
        <v>314</v>
      </c>
      <c r="B126" s="124">
        <v>614584</v>
      </c>
      <c r="C126" s="118"/>
      <c r="G126" s="88">
        <f t="shared" si="1"/>
        <v>0</v>
      </c>
    </row>
    <row r="127" spans="1:7">
      <c r="A127" s="58" t="s">
        <v>315</v>
      </c>
      <c r="B127" s="123">
        <v>611315</v>
      </c>
      <c r="C127" s="118"/>
      <c r="G127" s="88">
        <f t="shared" si="1"/>
        <v>0</v>
      </c>
    </row>
    <row r="128" spans="1:7">
      <c r="A128" s="57" t="s">
        <v>316</v>
      </c>
      <c r="B128" s="124">
        <v>611341</v>
      </c>
      <c r="C128" s="118"/>
      <c r="G128" s="88">
        <f t="shared" si="1"/>
        <v>0</v>
      </c>
    </row>
    <row r="129" spans="1:8">
      <c r="A129" s="58" t="s">
        <v>317</v>
      </c>
      <c r="B129" s="123">
        <v>614597</v>
      </c>
      <c r="C129" s="118"/>
      <c r="G129" s="88">
        <f t="shared" si="1"/>
        <v>0</v>
      </c>
    </row>
    <row r="130" spans="1:8">
      <c r="A130" s="57" t="s">
        <v>318</v>
      </c>
      <c r="B130" s="124">
        <v>611377</v>
      </c>
      <c r="C130" s="118"/>
      <c r="G130" s="88">
        <f t="shared" si="1"/>
        <v>-23</v>
      </c>
      <c r="H130" s="99">
        <v>23</v>
      </c>
    </row>
    <row r="131" spans="1:8">
      <c r="A131" s="58" t="s">
        <v>319</v>
      </c>
      <c r="B131" s="123">
        <v>611378</v>
      </c>
      <c r="C131" s="118"/>
      <c r="G131" s="88">
        <f t="shared" ref="G131:G194" si="2">C131-H131</f>
        <v>0</v>
      </c>
    </row>
    <row r="132" spans="1:8">
      <c r="A132" s="57" t="s">
        <v>320</v>
      </c>
      <c r="B132" s="124">
        <v>611391</v>
      </c>
      <c r="C132" s="118"/>
      <c r="G132" s="88">
        <f t="shared" si="2"/>
        <v>0</v>
      </c>
    </row>
    <row r="133" spans="1:8">
      <c r="A133" s="58" t="s">
        <v>321</v>
      </c>
      <c r="B133" s="123">
        <v>614577</v>
      </c>
      <c r="C133" s="118"/>
      <c r="G133" s="88">
        <f t="shared" si="2"/>
        <v>0</v>
      </c>
    </row>
    <row r="134" spans="1:8">
      <c r="A134" s="57" t="s">
        <v>322</v>
      </c>
      <c r="B134" s="124">
        <v>614606</v>
      </c>
      <c r="C134" s="118"/>
      <c r="G134" s="88">
        <f t="shared" si="2"/>
        <v>0</v>
      </c>
    </row>
    <row r="135" spans="1:8">
      <c r="A135" s="58" t="s">
        <v>323</v>
      </c>
      <c r="B135" s="123">
        <v>611408</v>
      </c>
      <c r="C135" s="118"/>
      <c r="G135" s="88">
        <f t="shared" si="2"/>
        <v>0</v>
      </c>
    </row>
    <row r="136" spans="1:8">
      <c r="A136" s="57" t="s">
        <v>324</v>
      </c>
      <c r="B136" s="124">
        <v>610669</v>
      </c>
      <c r="C136" s="118"/>
      <c r="G136" s="88">
        <f t="shared" si="2"/>
        <v>0</v>
      </c>
    </row>
    <row r="137" spans="1:8">
      <c r="A137" s="58" t="s">
        <v>325</v>
      </c>
      <c r="B137" s="123">
        <v>611410</v>
      </c>
      <c r="C137" s="118"/>
      <c r="G137" s="88">
        <f t="shared" si="2"/>
        <v>0</v>
      </c>
    </row>
    <row r="138" spans="1:8">
      <c r="A138" s="57" t="s">
        <v>326</v>
      </c>
      <c r="B138" s="124">
        <v>614002</v>
      </c>
      <c r="C138" s="118"/>
      <c r="G138" s="88">
        <f t="shared" si="2"/>
        <v>0</v>
      </c>
    </row>
    <row r="139" spans="1:8">
      <c r="A139" s="58" t="s">
        <v>327</v>
      </c>
      <c r="B139" s="123">
        <v>614604</v>
      </c>
      <c r="C139" s="118"/>
      <c r="G139" s="88">
        <f t="shared" si="2"/>
        <v>0</v>
      </c>
    </row>
    <row r="140" spans="1:8">
      <c r="A140" s="57" t="s">
        <v>328</v>
      </c>
      <c r="B140" s="124">
        <v>610672</v>
      </c>
      <c r="C140" s="118"/>
      <c r="G140" s="88">
        <f t="shared" si="2"/>
        <v>0</v>
      </c>
    </row>
    <row r="141" spans="1:8">
      <c r="A141" s="58" t="s">
        <v>329</v>
      </c>
      <c r="B141" s="123">
        <v>611413</v>
      </c>
      <c r="C141" s="118"/>
      <c r="G141" s="88">
        <f t="shared" si="2"/>
        <v>0</v>
      </c>
    </row>
    <row r="142" spans="1:8">
      <c r="A142" s="57" t="s">
        <v>827</v>
      </c>
      <c r="B142" s="124">
        <v>614893</v>
      </c>
      <c r="C142" s="118"/>
      <c r="G142" s="88">
        <f t="shared" si="2"/>
        <v>0</v>
      </c>
    </row>
    <row r="143" spans="1:8">
      <c r="A143" s="58" t="s">
        <v>330</v>
      </c>
      <c r="B143" s="123">
        <v>611415</v>
      </c>
      <c r="C143" s="118"/>
      <c r="G143" s="88">
        <f t="shared" si="2"/>
        <v>0</v>
      </c>
    </row>
    <row r="144" spans="1:8">
      <c r="A144" s="57" t="s">
        <v>331</v>
      </c>
      <c r="B144" s="124">
        <v>611416</v>
      </c>
      <c r="C144" s="118"/>
      <c r="G144" s="88">
        <f t="shared" si="2"/>
        <v>0</v>
      </c>
    </row>
    <row r="145" spans="1:8">
      <c r="A145" s="58" t="s">
        <v>332</v>
      </c>
      <c r="B145" s="123">
        <v>614008</v>
      </c>
      <c r="C145" s="118"/>
      <c r="G145" s="88">
        <f t="shared" si="2"/>
        <v>0</v>
      </c>
    </row>
    <row r="146" spans="1:8">
      <c r="A146" s="57" t="s">
        <v>333</v>
      </c>
      <c r="B146" s="124">
        <v>614600</v>
      </c>
      <c r="C146" s="118"/>
      <c r="G146" s="88">
        <f t="shared" si="2"/>
        <v>0</v>
      </c>
    </row>
    <row r="147" spans="1:8">
      <c r="A147" s="58" t="s">
        <v>334</v>
      </c>
      <c r="B147" s="123">
        <v>610677</v>
      </c>
      <c r="C147" s="118"/>
      <c r="G147" s="88">
        <f t="shared" si="2"/>
        <v>0</v>
      </c>
    </row>
    <row r="148" spans="1:8">
      <c r="A148" s="57" t="s">
        <v>335</v>
      </c>
      <c r="B148" s="124">
        <v>611418</v>
      </c>
      <c r="C148" s="118"/>
      <c r="G148" s="88">
        <f t="shared" si="2"/>
        <v>0</v>
      </c>
    </row>
    <row r="149" spans="1:8">
      <c r="A149" s="58" t="s">
        <v>336</v>
      </c>
      <c r="B149" s="123">
        <v>614010</v>
      </c>
      <c r="C149" s="118"/>
      <c r="G149" s="88">
        <f t="shared" si="2"/>
        <v>0</v>
      </c>
    </row>
    <row r="150" spans="1:8">
      <c r="A150" s="57" t="s">
        <v>337</v>
      </c>
      <c r="B150" s="124">
        <v>614710</v>
      </c>
      <c r="C150" s="118"/>
      <c r="G150" s="88">
        <f t="shared" si="2"/>
        <v>0</v>
      </c>
    </row>
    <row r="151" spans="1:8">
      <c r="A151" s="58" t="s">
        <v>338</v>
      </c>
      <c r="B151" s="123">
        <v>611420</v>
      </c>
      <c r="C151" s="118"/>
      <c r="G151" s="88">
        <f t="shared" si="2"/>
        <v>0</v>
      </c>
    </row>
    <row r="152" spans="1:8">
      <c r="A152" s="57" t="s">
        <v>339</v>
      </c>
      <c r="B152" s="124">
        <v>611422</v>
      </c>
      <c r="C152" s="118"/>
      <c r="G152" s="88">
        <f t="shared" si="2"/>
        <v>0</v>
      </c>
    </row>
    <row r="153" spans="1:8">
      <c r="A153" s="58" t="s">
        <v>340</v>
      </c>
      <c r="B153" s="123">
        <v>610682</v>
      </c>
      <c r="C153" s="118"/>
      <c r="G153" s="88">
        <f t="shared" si="2"/>
        <v>0</v>
      </c>
    </row>
    <row r="154" spans="1:8">
      <c r="A154" s="57" t="s">
        <v>341</v>
      </c>
      <c r="B154" s="124">
        <v>611423</v>
      </c>
      <c r="C154" s="118"/>
      <c r="G154" s="88">
        <f t="shared" si="2"/>
        <v>-21</v>
      </c>
      <c r="H154" s="99">
        <v>21</v>
      </c>
    </row>
    <row r="155" spans="1:8">
      <c r="A155" s="58" t="s">
        <v>342</v>
      </c>
      <c r="B155" s="123">
        <v>614015</v>
      </c>
      <c r="C155" s="118"/>
      <c r="G155" s="88">
        <f t="shared" si="2"/>
        <v>0</v>
      </c>
    </row>
    <row r="156" spans="1:8">
      <c r="A156" s="57" t="s">
        <v>343</v>
      </c>
      <c r="B156" s="124">
        <v>614590</v>
      </c>
      <c r="C156" s="118"/>
      <c r="G156" s="88">
        <f t="shared" si="2"/>
        <v>0</v>
      </c>
    </row>
    <row r="157" spans="1:8">
      <c r="A157" s="58" t="s">
        <v>344</v>
      </c>
      <c r="B157" s="123">
        <v>611428</v>
      </c>
      <c r="C157" s="118"/>
      <c r="G157" s="88">
        <f t="shared" si="2"/>
        <v>0</v>
      </c>
    </row>
    <row r="158" spans="1:8">
      <c r="A158" s="57" t="s">
        <v>345</v>
      </c>
      <c r="B158" s="124">
        <v>612724</v>
      </c>
      <c r="C158" s="118"/>
      <c r="G158" s="88">
        <f t="shared" si="2"/>
        <v>0</v>
      </c>
    </row>
    <row r="159" spans="1:8">
      <c r="A159" s="58" t="s">
        <v>346</v>
      </c>
      <c r="B159" s="123">
        <v>614598</v>
      </c>
      <c r="C159" s="118"/>
      <c r="G159" s="88">
        <f t="shared" si="2"/>
        <v>0</v>
      </c>
    </row>
    <row r="160" spans="1:8">
      <c r="A160" s="57" t="s">
        <v>347</v>
      </c>
      <c r="B160" s="124">
        <v>614610</v>
      </c>
      <c r="C160" s="118"/>
      <c r="G160" s="88">
        <f t="shared" si="2"/>
        <v>0</v>
      </c>
    </row>
    <row r="161" spans="1:7">
      <c r="A161" s="58" t="s">
        <v>348</v>
      </c>
      <c r="B161" s="123">
        <v>611433</v>
      </c>
      <c r="C161" s="118"/>
      <c r="G161" s="88">
        <f t="shared" si="2"/>
        <v>0</v>
      </c>
    </row>
    <row r="162" spans="1:7">
      <c r="A162" s="57" t="s">
        <v>349</v>
      </c>
      <c r="B162" s="124">
        <v>614025</v>
      </c>
      <c r="C162" s="118"/>
      <c r="G162" s="88">
        <f t="shared" si="2"/>
        <v>0</v>
      </c>
    </row>
    <row r="163" spans="1:7">
      <c r="A163" s="58" t="s">
        <v>350</v>
      </c>
      <c r="B163" s="123">
        <v>611443</v>
      </c>
      <c r="C163" s="118"/>
      <c r="G163" s="88">
        <f t="shared" si="2"/>
        <v>0</v>
      </c>
    </row>
    <row r="164" spans="1:7">
      <c r="A164" s="57" t="s">
        <v>351</v>
      </c>
      <c r="B164" s="124">
        <v>614594</v>
      </c>
      <c r="C164" s="118"/>
      <c r="G164" s="88">
        <f t="shared" si="2"/>
        <v>0</v>
      </c>
    </row>
    <row r="165" spans="1:7">
      <c r="A165" s="58" t="s">
        <v>352</v>
      </c>
      <c r="B165" s="123">
        <v>611486</v>
      </c>
      <c r="C165" s="118"/>
      <c r="G165" s="88">
        <f t="shared" si="2"/>
        <v>0</v>
      </c>
    </row>
    <row r="166" spans="1:7">
      <c r="A166" s="57" t="s">
        <v>353</v>
      </c>
      <c r="B166" s="124">
        <v>611495</v>
      </c>
      <c r="C166" s="118"/>
      <c r="G166" s="88">
        <f t="shared" si="2"/>
        <v>0</v>
      </c>
    </row>
    <row r="167" spans="1:7">
      <c r="A167" s="58" t="s">
        <v>354</v>
      </c>
      <c r="B167" s="123">
        <v>611502</v>
      </c>
      <c r="C167" s="118"/>
      <c r="G167" s="88">
        <f t="shared" si="2"/>
        <v>0</v>
      </c>
    </row>
    <row r="168" spans="1:7">
      <c r="A168" s="57" t="s">
        <v>355</v>
      </c>
      <c r="B168" s="124">
        <v>611526</v>
      </c>
      <c r="C168" s="118"/>
      <c r="G168" s="88">
        <f t="shared" si="2"/>
        <v>0</v>
      </c>
    </row>
    <row r="169" spans="1:7">
      <c r="A169" s="58" t="s">
        <v>356</v>
      </c>
      <c r="B169" s="123">
        <v>611554</v>
      </c>
      <c r="C169" s="118"/>
      <c r="G169" s="88">
        <f t="shared" si="2"/>
        <v>0</v>
      </c>
    </row>
    <row r="170" spans="1:7">
      <c r="A170" s="57" t="s">
        <v>357</v>
      </c>
      <c r="B170" s="124">
        <v>611587</v>
      </c>
      <c r="C170" s="118"/>
      <c r="G170" s="88">
        <f t="shared" si="2"/>
        <v>0</v>
      </c>
    </row>
    <row r="171" spans="1:7">
      <c r="A171" s="58" t="s">
        <v>358</v>
      </c>
      <c r="B171" s="123">
        <v>611588</v>
      </c>
      <c r="C171" s="118"/>
      <c r="G171" s="88">
        <f t="shared" si="2"/>
        <v>0</v>
      </c>
    </row>
    <row r="172" spans="1:7">
      <c r="A172" s="57" t="s">
        <v>359</v>
      </c>
      <c r="B172" s="124">
        <v>611590</v>
      </c>
      <c r="C172" s="118"/>
      <c r="G172" s="88">
        <f t="shared" si="2"/>
        <v>0</v>
      </c>
    </row>
    <row r="173" spans="1:7">
      <c r="A173" s="58" t="s">
        <v>360</v>
      </c>
      <c r="B173" s="123">
        <v>611593</v>
      </c>
      <c r="C173" s="118"/>
      <c r="G173" s="88">
        <f t="shared" si="2"/>
        <v>0</v>
      </c>
    </row>
    <row r="174" spans="1:7">
      <c r="A174" s="57" t="s">
        <v>361</v>
      </c>
      <c r="B174" s="124">
        <v>614185</v>
      </c>
      <c r="C174" s="118"/>
      <c r="G174" s="88">
        <f t="shared" si="2"/>
        <v>0</v>
      </c>
    </row>
    <row r="175" spans="1:7">
      <c r="A175" s="58" t="s">
        <v>362</v>
      </c>
      <c r="B175" s="123">
        <v>611594</v>
      </c>
      <c r="C175" s="118"/>
      <c r="G175" s="88">
        <f t="shared" si="2"/>
        <v>0</v>
      </c>
    </row>
    <row r="176" spans="1:7">
      <c r="A176" s="57" t="s">
        <v>363</v>
      </c>
      <c r="B176" s="124">
        <v>611596</v>
      </c>
      <c r="C176" s="118"/>
      <c r="G176" s="88">
        <f t="shared" si="2"/>
        <v>0</v>
      </c>
    </row>
    <row r="177" spans="1:7">
      <c r="A177" s="58" t="s">
        <v>364</v>
      </c>
      <c r="B177" s="123">
        <v>614616</v>
      </c>
      <c r="C177" s="118"/>
      <c r="G177" s="88">
        <f t="shared" si="2"/>
        <v>0</v>
      </c>
    </row>
    <row r="178" spans="1:7">
      <c r="A178" s="57" t="s">
        <v>365</v>
      </c>
      <c r="B178" s="124">
        <v>611598</v>
      </c>
      <c r="C178" s="118"/>
      <c r="G178" s="88">
        <f t="shared" si="2"/>
        <v>0</v>
      </c>
    </row>
    <row r="179" spans="1:7">
      <c r="A179" s="58" t="s">
        <v>366</v>
      </c>
      <c r="B179" s="123">
        <v>614631</v>
      </c>
      <c r="C179" s="118"/>
      <c r="G179" s="88">
        <f t="shared" si="2"/>
        <v>0</v>
      </c>
    </row>
    <row r="180" spans="1:7">
      <c r="A180" s="57" t="s">
        <v>367</v>
      </c>
      <c r="B180" s="124">
        <v>611603</v>
      </c>
      <c r="C180" s="118"/>
      <c r="G180" s="88">
        <f t="shared" si="2"/>
        <v>0</v>
      </c>
    </row>
    <row r="181" spans="1:7">
      <c r="A181" s="58" t="s">
        <v>368</v>
      </c>
      <c r="B181" s="123">
        <v>614195</v>
      </c>
      <c r="C181" s="118"/>
      <c r="G181" s="88">
        <f t="shared" si="2"/>
        <v>0</v>
      </c>
    </row>
    <row r="182" spans="1:7">
      <c r="A182" s="57" t="s">
        <v>369</v>
      </c>
      <c r="B182" s="124">
        <v>611608</v>
      </c>
      <c r="C182" s="118"/>
      <c r="G182" s="88">
        <f t="shared" si="2"/>
        <v>0</v>
      </c>
    </row>
    <row r="183" spans="1:7">
      <c r="A183" s="58" t="s">
        <v>370</v>
      </c>
      <c r="B183" s="123">
        <v>614200</v>
      </c>
      <c r="C183" s="118"/>
      <c r="G183" s="88">
        <f t="shared" si="2"/>
        <v>0</v>
      </c>
    </row>
    <row r="184" spans="1:7">
      <c r="A184" s="57" t="s">
        <v>371</v>
      </c>
      <c r="B184" s="124">
        <v>611610</v>
      </c>
      <c r="C184" s="118"/>
      <c r="G184" s="88">
        <f t="shared" si="2"/>
        <v>0</v>
      </c>
    </row>
    <row r="185" spans="1:7">
      <c r="A185" s="58" t="s">
        <v>372</v>
      </c>
      <c r="B185" s="123">
        <v>611613</v>
      </c>
      <c r="C185" s="118"/>
      <c r="G185" s="88">
        <f t="shared" si="2"/>
        <v>0</v>
      </c>
    </row>
    <row r="186" spans="1:7">
      <c r="A186" s="57" t="s">
        <v>373</v>
      </c>
      <c r="B186" s="124">
        <v>614205</v>
      </c>
      <c r="C186" s="118"/>
      <c r="G186" s="88">
        <f t="shared" si="2"/>
        <v>0</v>
      </c>
    </row>
    <row r="187" spans="1:7">
      <c r="A187" s="58" t="s">
        <v>374</v>
      </c>
      <c r="B187" s="123">
        <v>614593</v>
      </c>
      <c r="C187" s="118"/>
      <c r="G187" s="88">
        <f t="shared" si="2"/>
        <v>0</v>
      </c>
    </row>
    <row r="188" spans="1:7">
      <c r="A188" s="57" t="s">
        <v>375</v>
      </c>
      <c r="B188" s="124">
        <v>614607</v>
      </c>
      <c r="C188" s="118"/>
      <c r="G188" s="88">
        <f t="shared" si="2"/>
        <v>0</v>
      </c>
    </row>
    <row r="189" spans="1:7">
      <c r="A189" s="58" t="s">
        <v>376</v>
      </c>
      <c r="B189" s="123">
        <v>611618</v>
      </c>
      <c r="C189" s="118"/>
      <c r="G189" s="88">
        <f t="shared" si="2"/>
        <v>0</v>
      </c>
    </row>
    <row r="190" spans="1:7">
      <c r="A190" s="57" t="s">
        <v>377</v>
      </c>
      <c r="B190" s="124">
        <v>611631</v>
      </c>
      <c r="C190" s="118"/>
      <c r="G190" s="88">
        <f t="shared" si="2"/>
        <v>0</v>
      </c>
    </row>
    <row r="191" spans="1:7">
      <c r="A191" s="58" t="s">
        <v>378</v>
      </c>
      <c r="B191" s="123">
        <v>611768</v>
      </c>
      <c r="C191" s="118"/>
      <c r="G191" s="88">
        <f t="shared" si="2"/>
        <v>0</v>
      </c>
    </row>
    <row r="192" spans="1:7">
      <c r="A192" s="57" t="s">
        <v>379</v>
      </c>
      <c r="B192" s="124">
        <v>614615</v>
      </c>
      <c r="C192" s="118"/>
      <c r="G192" s="88">
        <f t="shared" si="2"/>
        <v>0</v>
      </c>
    </row>
    <row r="193" spans="1:8">
      <c r="A193" s="58" t="s">
        <v>380</v>
      </c>
      <c r="B193" s="123">
        <v>611773</v>
      </c>
      <c r="C193" s="118"/>
      <c r="G193" s="88">
        <f t="shared" si="2"/>
        <v>0</v>
      </c>
    </row>
    <row r="194" spans="1:8">
      <c r="A194" s="57" t="s">
        <v>381</v>
      </c>
      <c r="B194" s="124">
        <v>614365</v>
      </c>
      <c r="C194" s="118"/>
      <c r="G194" s="88">
        <f t="shared" si="2"/>
        <v>0</v>
      </c>
    </row>
    <row r="195" spans="1:8">
      <c r="A195" s="58" t="s">
        <v>382</v>
      </c>
      <c r="B195" s="123">
        <v>611778</v>
      </c>
      <c r="C195" s="118"/>
      <c r="G195" s="88">
        <f t="shared" ref="G195:G258" si="3">C195-H195</f>
        <v>0</v>
      </c>
    </row>
    <row r="196" spans="1:8">
      <c r="A196" s="57" t="s">
        <v>383</v>
      </c>
      <c r="B196" s="124">
        <v>611780</v>
      </c>
      <c r="C196" s="118"/>
      <c r="G196" s="88">
        <f t="shared" si="3"/>
        <v>0</v>
      </c>
    </row>
    <row r="197" spans="1:8">
      <c r="A197" s="58" t="s">
        <v>384</v>
      </c>
      <c r="B197" s="123">
        <v>611783</v>
      </c>
      <c r="C197" s="118"/>
      <c r="G197" s="88">
        <f t="shared" si="3"/>
        <v>-230</v>
      </c>
      <c r="H197" s="99">
        <v>230</v>
      </c>
    </row>
    <row r="198" spans="1:8">
      <c r="A198" s="57" t="s">
        <v>385</v>
      </c>
      <c r="B198" s="124">
        <v>614375</v>
      </c>
      <c r="C198" s="118"/>
      <c r="G198" s="88">
        <f t="shared" si="3"/>
        <v>0</v>
      </c>
    </row>
    <row r="199" spans="1:8">
      <c r="A199" s="58" t="s">
        <v>386</v>
      </c>
      <c r="B199" s="123">
        <v>611788</v>
      </c>
      <c r="C199" s="118"/>
      <c r="G199" s="88">
        <f t="shared" si="3"/>
        <v>0</v>
      </c>
    </row>
    <row r="200" spans="1:8">
      <c r="A200" s="57" t="s">
        <v>387</v>
      </c>
      <c r="B200" s="124">
        <v>614380</v>
      </c>
      <c r="C200" s="118"/>
      <c r="G200" s="88">
        <f t="shared" si="3"/>
        <v>0</v>
      </c>
    </row>
    <row r="201" spans="1:8">
      <c r="A201" s="58" t="s">
        <v>388</v>
      </c>
      <c r="B201" s="123">
        <v>611789</v>
      </c>
      <c r="C201" s="118"/>
      <c r="G201" s="88">
        <f t="shared" si="3"/>
        <v>0</v>
      </c>
    </row>
    <row r="202" spans="1:8">
      <c r="A202" s="57" t="s">
        <v>389</v>
      </c>
      <c r="B202" s="124">
        <v>614385</v>
      </c>
      <c r="C202" s="118"/>
      <c r="G202" s="88">
        <f t="shared" si="3"/>
        <v>0</v>
      </c>
    </row>
    <row r="203" spans="1:8">
      <c r="A203" s="58" t="s">
        <v>390</v>
      </c>
      <c r="B203" s="123">
        <v>614386</v>
      </c>
      <c r="C203" s="118"/>
      <c r="G203" s="88">
        <f t="shared" si="3"/>
        <v>0</v>
      </c>
    </row>
    <row r="204" spans="1:8">
      <c r="A204" s="57" t="s">
        <v>391</v>
      </c>
      <c r="B204" s="124">
        <v>614388</v>
      </c>
      <c r="C204" s="118"/>
      <c r="G204" s="88">
        <f t="shared" si="3"/>
        <v>0</v>
      </c>
    </row>
    <row r="205" spans="1:8">
      <c r="A205" s="58" t="s">
        <v>392</v>
      </c>
      <c r="B205" s="123">
        <v>611798</v>
      </c>
      <c r="C205" s="118"/>
      <c r="G205" s="88">
        <f t="shared" si="3"/>
        <v>0</v>
      </c>
    </row>
    <row r="206" spans="1:8">
      <c r="A206" s="57" t="s">
        <v>393</v>
      </c>
      <c r="B206" s="124">
        <v>614390</v>
      </c>
      <c r="C206" s="118"/>
      <c r="G206" s="88">
        <f t="shared" si="3"/>
        <v>-233</v>
      </c>
      <c r="H206" s="99">
        <v>233</v>
      </c>
    </row>
    <row r="207" spans="1:8">
      <c r="A207" s="58" t="s">
        <v>394</v>
      </c>
      <c r="B207" s="123">
        <v>614581</v>
      </c>
      <c r="C207" s="118"/>
      <c r="G207" s="88">
        <f t="shared" si="3"/>
        <v>0</v>
      </c>
    </row>
    <row r="208" spans="1:8">
      <c r="A208" s="57" t="s">
        <v>395</v>
      </c>
      <c r="B208" s="124">
        <v>614620</v>
      </c>
      <c r="C208" s="118"/>
      <c r="G208" s="88">
        <f t="shared" si="3"/>
        <v>0</v>
      </c>
    </row>
    <row r="209" spans="1:7">
      <c r="A209" s="58" t="s">
        <v>396</v>
      </c>
      <c r="B209" s="123">
        <v>614608</v>
      </c>
      <c r="C209" s="118"/>
      <c r="G209" s="88">
        <f t="shared" si="3"/>
        <v>0</v>
      </c>
    </row>
    <row r="210" spans="1:7">
      <c r="A210" s="57" t="s">
        <v>397</v>
      </c>
      <c r="B210" s="124">
        <v>611889</v>
      </c>
      <c r="C210" s="118"/>
      <c r="G210" s="88">
        <f t="shared" si="3"/>
        <v>0</v>
      </c>
    </row>
    <row r="211" spans="1:7">
      <c r="A211" s="58" t="s">
        <v>398</v>
      </c>
      <c r="B211" s="123">
        <v>611958</v>
      </c>
      <c r="C211" s="118"/>
      <c r="G211" s="88">
        <f t="shared" si="3"/>
        <v>0</v>
      </c>
    </row>
    <row r="212" spans="1:7">
      <c r="A212" s="57" t="s">
        <v>399</v>
      </c>
      <c r="B212" s="124">
        <v>614550</v>
      </c>
      <c r="C212" s="118"/>
      <c r="G212" s="88">
        <f t="shared" si="3"/>
        <v>0</v>
      </c>
    </row>
    <row r="213" spans="1:7">
      <c r="A213" s="58" t="s">
        <v>400</v>
      </c>
      <c r="B213" s="123">
        <v>614552</v>
      </c>
      <c r="C213" s="118"/>
      <c r="G213" s="88">
        <f t="shared" si="3"/>
        <v>0</v>
      </c>
    </row>
    <row r="214" spans="1:7">
      <c r="A214" s="57" t="s">
        <v>401</v>
      </c>
      <c r="B214" s="124">
        <v>614605</v>
      </c>
      <c r="C214" s="118"/>
      <c r="G214" s="88">
        <f t="shared" si="3"/>
        <v>0</v>
      </c>
    </row>
    <row r="215" spans="1:7">
      <c r="A215" s="58" t="s">
        <v>402</v>
      </c>
      <c r="B215" s="123">
        <v>611968</v>
      </c>
      <c r="C215" s="118"/>
      <c r="G215" s="88">
        <f t="shared" si="3"/>
        <v>0</v>
      </c>
    </row>
    <row r="216" spans="1:7">
      <c r="A216" s="57" t="s">
        <v>403</v>
      </c>
      <c r="B216" s="124">
        <v>614560</v>
      </c>
      <c r="C216" s="118"/>
      <c r="G216" s="88">
        <f t="shared" si="3"/>
        <v>0</v>
      </c>
    </row>
    <row r="217" spans="1:7">
      <c r="A217" s="58" t="s">
        <v>404</v>
      </c>
      <c r="B217" s="123">
        <v>614575</v>
      </c>
      <c r="C217" s="118"/>
      <c r="G217" s="88">
        <f t="shared" si="3"/>
        <v>0</v>
      </c>
    </row>
    <row r="218" spans="1:7">
      <c r="A218" s="57" t="s">
        <v>405</v>
      </c>
      <c r="B218" s="124">
        <v>614644</v>
      </c>
      <c r="C218" s="118"/>
      <c r="G218" s="88">
        <f t="shared" si="3"/>
        <v>0</v>
      </c>
    </row>
    <row r="219" spans="1:7">
      <c r="A219" s="58" t="s">
        <v>406</v>
      </c>
      <c r="B219" s="123">
        <v>614670</v>
      </c>
      <c r="C219" s="118"/>
      <c r="G219" s="88">
        <f t="shared" si="3"/>
        <v>0</v>
      </c>
    </row>
    <row r="220" spans="1:7">
      <c r="A220" s="57" t="s">
        <v>407</v>
      </c>
      <c r="B220" s="124">
        <v>614666</v>
      </c>
      <c r="C220" s="118">
        <v>600</v>
      </c>
      <c r="G220" s="88">
        <f t="shared" si="3"/>
        <v>600</v>
      </c>
    </row>
    <row r="221" spans="1:7">
      <c r="A221" s="58" t="s">
        <v>408</v>
      </c>
      <c r="B221" s="123">
        <v>614587</v>
      </c>
      <c r="C221" s="118"/>
      <c r="G221" s="88">
        <f t="shared" si="3"/>
        <v>0</v>
      </c>
    </row>
    <row r="222" spans="1:7">
      <c r="A222" s="57" t="s">
        <v>409</v>
      </c>
      <c r="B222" s="124">
        <v>614673</v>
      </c>
      <c r="C222" s="118"/>
      <c r="G222" s="88">
        <f t="shared" si="3"/>
        <v>0</v>
      </c>
    </row>
    <row r="223" spans="1:7">
      <c r="A223" s="58" t="s">
        <v>410</v>
      </c>
      <c r="B223" s="123">
        <v>614617</v>
      </c>
      <c r="C223" s="118"/>
      <c r="G223" s="88">
        <f t="shared" si="3"/>
        <v>0</v>
      </c>
    </row>
    <row r="224" spans="1:7">
      <c r="A224" s="57" t="s">
        <v>411</v>
      </c>
      <c r="B224" s="124">
        <v>614596</v>
      </c>
      <c r="C224" s="118"/>
      <c r="G224" s="88">
        <f t="shared" si="3"/>
        <v>0</v>
      </c>
    </row>
    <row r="225" spans="1:7">
      <c r="A225" s="58" t="s">
        <v>412</v>
      </c>
      <c r="B225" s="123">
        <v>614891</v>
      </c>
      <c r="C225" s="118"/>
      <c r="G225" s="88">
        <f t="shared" si="3"/>
        <v>0</v>
      </c>
    </row>
    <row r="226" spans="1:7">
      <c r="A226" s="57" t="s">
        <v>413</v>
      </c>
      <c r="B226" s="124">
        <v>614892</v>
      </c>
      <c r="C226" s="118"/>
      <c r="G226" s="88">
        <f t="shared" si="3"/>
        <v>0</v>
      </c>
    </row>
    <row r="227" spans="1:7">
      <c r="A227" s="58" t="s">
        <v>414</v>
      </c>
      <c r="B227" s="123">
        <v>614678</v>
      </c>
      <c r="C227" s="118"/>
      <c r="G227" s="88">
        <f t="shared" si="3"/>
        <v>0</v>
      </c>
    </row>
    <row r="228" spans="1:7">
      <c r="A228" s="57" t="s">
        <v>415</v>
      </c>
      <c r="B228" s="124">
        <v>614020</v>
      </c>
      <c r="C228" s="118"/>
      <c r="G228" s="88">
        <f t="shared" si="3"/>
        <v>0</v>
      </c>
    </row>
    <row r="229" spans="1:7">
      <c r="A229" s="58" t="s">
        <v>416</v>
      </c>
      <c r="B229" s="123">
        <v>542112</v>
      </c>
      <c r="C229" s="118"/>
      <c r="G229" s="88">
        <f t="shared" si="3"/>
        <v>0</v>
      </c>
    </row>
    <row r="230" spans="1:7">
      <c r="A230" s="57" t="s">
        <v>417</v>
      </c>
      <c r="B230" s="124">
        <v>542111</v>
      </c>
      <c r="C230" s="118"/>
      <c r="G230" s="88">
        <f t="shared" si="3"/>
        <v>0</v>
      </c>
    </row>
    <row r="231" spans="1:7">
      <c r="A231" s="58" t="s">
        <v>418</v>
      </c>
      <c r="B231" s="123">
        <v>614659</v>
      </c>
      <c r="C231" s="118"/>
      <c r="G231" s="88">
        <f t="shared" si="3"/>
        <v>0</v>
      </c>
    </row>
    <row r="232" spans="1:7">
      <c r="A232" s="57" t="s">
        <v>419</v>
      </c>
      <c r="B232" s="124">
        <v>614660</v>
      </c>
      <c r="C232" s="118"/>
      <c r="G232" s="88">
        <f t="shared" si="3"/>
        <v>0</v>
      </c>
    </row>
    <row r="233" spans="1:7">
      <c r="A233" s="58" t="s">
        <v>420</v>
      </c>
      <c r="B233" s="123">
        <v>614675</v>
      </c>
      <c r="C233" s="118"/>
      <c r="G233" s="88">
        <f t="shared" si="3"/>
        <v>0</v>
      </c>
    </row>
    <row r="234" spans="1:7">
      <c r="A234" s="57" t="s">
        <v>421</v>
      </c>
      <c r="B234" s="124">
        <v>614735</v>
      </c>
      <c r="C234" s="118"/>
      <c r="G234" s="88">
        <f t="shared" si="3"/>
        <v>0</v>
      </c>
    </row>
    <row r="235" spans="1:7">
      <c r="A235" s="58" t="s">
        <v>422</v>
      </c>
      <c r="B235" s="123">
        <v>614632</v>
      </c>
      <c r="C235" s="118"/>
      <c r="G235" s="88">
        <f t="shared" si="3"/>
        <v>0</v>
      </c>
    </row>
    <row r="236" spans="1:7">
      <c r="A236" s="57" t="s">
        <v>423</v>
      </c>
      <c r="B236" s="124">
        <v>614633</v>
      </c>
      <c r="C236" s="118"/>
      <c r="G236" s="88">
        <f t="shared" si="3"/>
        <v>0</v>
      </c>
    </row>
    <row r="237" spans="1:7">
      <c r="A237" s="58" t="s">
        <v>424</v>
      </c>
      <c r="B237" s="123">
        <v>614634</v>
      </c>
      <c r="C237" s="118"/>
      <c r="G237" s="88">
        <f t="shared" si="3"/>
        <v>0</v>
      </c>
    </row>
    <row r="238" spans="1:7">
      <c r="A238" s="57" t="s">
        <v>425</v>
      </c>
      <c r="B238" s="124">
        <v>614635</v>
      </c>
      <c r="C238" s="118"/>
      <c r="G238" s="88">
        <f t="shared" si="3"/>
        <v>0</v>
      </c>
    </row>
    <row r="239" spans="1:7">
      <c r="A239" s="58" t="s">
        <v>426</v>
      </c>
      <c r="B239" s="123">
        <v>614655</v>
      </c>
      <c r="C239" s="118"/>
      <c r="G239" s="88">
        <f t="shared" si="3"/>
        <v>0</v>
      </c>
    </row>
    <row r="240" spans="1:7">
      <c r="A240" s="57" t="s">
        <v>427</v>
      </c>
      <c r="B240" s="124">
        <v>614663</v>
      </c>
      <c r="C240" s="118"/>
      <c r="G240" s="88">
        <f t="shared" si="3"/>
        <v>0</v>
      </c>
    </row>
    <row r="241" spans="1:7">
      <c r="A241" s="58" t="s">
        <v>428</v>
      </c>
      <c r="B241" s="123">
        <v>410007</v>
      </c>
      <c r="C241" s="118"/>
      <c r="G241" s="88">
        <f t="shared" si="3"/>
        <v>0</v>
      </c>
    </row>
    <row r="242" spans="1:7">
      <c r="A242" s="57" t="s">
        <v>429</v>
      </c>
      <c r="B242" s="124">
        <v>410002</v>
      </c>
      <c r="C242" s="118"/>
      <c r="G242" s="88">
        <f t="shared" si="3"/>
        <v>0</v>
      </c>
    </row>
    <row r="243" spans="1:7">
      <c r="A243" s="58" t="s">
        <v>430</v>
      </c>
      <c r="B243" s="123">
        <v>410003</v>
      </c>
      <c r="C243" s="118"/>
      <c r="G243" s="88">
        <f t="shared" si="3"/>
        <v>0</v>
      </c>
    </row>
    <row r="244" spans="1:7">
      <c r="A244" s="57" t="s">
        <v>431</v>
      </c>
      <c r="B244" s="124">
        <v>410004</v>
      </c>
      <c r="C244" s="118"/>
      <c r="G244" s="88">
        <f t="shared" si="3"/>
        <v>0</v>
      </c>
    </row>
    <row r="245" spans="1:7">
      <c r="A245" s="58" t="s">
        <v>432</v>
      </c>
      <c r="B245" s="123">
        <v>410005</v>
      </c>
      <c r="C245" s="118"/>
      <c r="G245" s="88">
        <f t="shared" si="3"/>
        <v>0</v>
      </c>
    </row>
    <row r="246" spans="1:7">
      <c r="A246" s="57" t="s">
        <v>433</v>
      </c>
      <c r="B246" s="124">
        <v>410006</v>
      </c>
      <c r="C246" s="118"/>
      <c r="G246" s="88">
        <f t="shared" si="3"/>
        <v>0</v>
      </c>
    </row>
    <row r="247" spans="1:7">
      <c r="A247" s="58" t="s">
        <v>434</v>
      </c>
      <c r="B247" s="123">
        <v>720001</v>
      </c>
      <c r="C247" s="118"/>
      <c r="G247" s="88">
        <v>1000</v>
      </c>
    </row>
    <row r="248" spans="1:7">
      <c r="A248" s="57" t="s">
        <v>435</v>
      </c>
      <c r="B248" s="124">
        <v>710001</v>
      </c>
      <c r="C248" s="118"/>
      <c r="G248" s="88">
        <f t="shared" si="3"/>
        <v>0</v>
      </c>
    </row>
    <row r="249" spans="1:7">
      <c r="A249" s="58" t="s">
        <v>436</v>
      </c>
      <c r="B249" s="123">
        <v>860092</v>
      </c>
      <c r="C249" s="118"/>
      <c r="G249" s="88">
        <f t="shared" si="3"/>
        <v>0</v>
      </c>
    </row>
    <row r="250" spans="1:7">
      <c r="A250" s="57" t="s">
        <v>437</v>
      </c>
      <c r="B250" s="124">
        <v>860132</v>
      </c>
      <c r="C250" s="118"/>
      <c r="G250" s="88">
        <f t="shared" si="3"/>
        <v>0</v>
      </c>
    </row>
    <row r="251" spans="1:7">
      <c r="A251" s="58" t="s">
        <v>438</v>
      </c>
      <c r="B251" s="123">
        <v>840201</v>
      </c>
      <c r="C251" s="118"/>
      <c r="G251" s="88">
        <f t="shared" si="3"/>
        <v>0</v>
      </c>
    </row>
    <row r="252" spans="1:7">
      <c r="A252" s="57" t="s">
        <v>439</v>
      </c>
      <c r="B252" s="124">
        <v>860082</v>
      </c>
      <c r="C252" s="118"/>
      <c r="G252" s="88">
        <f t="shared" si="3"/>
        <v>0</v>
      </c>
    </row>
    <row r="253" spans="1:7">
      <c r="A253" s="58" t="s">
        <v>440</v>
      </c>
      <c r="B253" s="123">
        <v>860060</v>
      </c>
      <c r="C253" s="118"/>
      <c r="G253" s="88">
        <f t="shared" si="3"/>
        <v>0</v>
      </c>
    </row>
    <row r="254" spans="1:7">
      <c r="A254" s="57" t="s">
        <v>441</v>
      </c>
      <c r="B254" s="124">
        <v>860043</v>
      </c>
      <c r="C254" s="118">
        <v>300</v>
      </c>
      <c r="G254" s="88">
        <f t="shared" si="3"/>
        <v>300</v>
      </c>
    </row>
    <row r="255" spans="1:7">
      <c r="A255" s="58" t="s">
        <v>442</v>
      </c>
      <c r="B255" s="123">
        <v>870165</v>
      </c>
      <c r="C255" s="118"/>
      <c r="G255" s="88">
        <f t="shared" si="3"/>
        <v>0</v>
      </c>
    </row>
    <row r="256" spans="1:7">
      <c r="A256" s="57" t="s">
        <v>443</v>
      </c>
      <c r="B256" s="124">
        <v>860050</v>
      </c>
      <c r="C256" s="118"/>
      <c r="G256" s="88">
        <f t="shared" si="3"/>
        <v>0</v>
      </c>
    </row>
    <row r="257" spans="1:7">
      <c r="A257" s="58" t="s">
        <v>444</v>
      </c>
      <c r="B257" s="123">
        <v>860061</v>
      </c>
      <c r="C257" s="118"/>
      <c r="G257" s="88">
        <f t="shared" si="3"/>
        <v>0</v>
      </c>
    </row>
    <row r="258" spans="1:7">
      <c r="A258" s="57" t="s">
        <v>445</v>
      </c>
      <c r="B258" s="124">
        <v>860036</v>
      </c>
      <c r="C258" s="118"/>
      <c r="G258" s="88">
        <f t="shared" si="3"/>
        <v>0</v>
      </c>
    </row>
    <row r="259" spans="1:7">
      <c r="A259" s="58" t="s">
        <v>446</v>
      </c>
      <c r="B259" s="123">
        <v>860080</v>
      </c>
      <c r="C259" s="118"/>
      <c r="G259" s="88">
        <f t="shared" ref="G259:G322" si="4">C259-H259</f>
        <v>0</v>
      </c>
    </row>
    <row r="260" spans="1:7">
      <c r="A260" s="57" t="s">
        <v>447</v>
      </c>
      <c r="B260" s="124">
        <v>860164</v>
      </c>
      <c r="C260" s="118"/>
      <c r="G260" s="88">
        <f t="shared" si="4"/>
        <v>0</v>
      </c>
    </row>
    <row r="261" spans="1:7">
      <c r="A261" s="58" t="s">
        <v>448</v>
      </c>
      <c r="B261" s="123">
        <v>860018</v>
      </c>
      <c r="C261" s="118"/>
      <c r="G261" s="88">
        <f t="shared" si="4"/>
        <v>0</v>
      </c>
    </row>
    <row r="262" spans="1:7">
      <c r="A262" s="57" t="s">
        <v>449</v>
      </c>
      <c r="B262" s="124">
        <v>860062</v>
      </c>
      <c r="C262" s="118">
        <v>200</v>
      </c>
      <c r="G262" s="88">
        <f t="shared" si="4"/>
        <v>200</v>
      </c>
    </row>
    <row r="263" spans="1:7">
      <c r="A263" s="58" t="s">
        <v>450</v>
      </c>
      <c r="B263" s="123">
        <v>860019</v>
      </c>
      <c r="C263" s="118"/>
      <c r="G263" s="88">
        <f t="shared" si="4"/>
        <v>0</v>
      </c>
    </row>
    <row r="264" spans="1:7">
      <c r="A264" s="57" t="s">
        <v>451</v>
      </c>
      <c r="B264" s="124">
        <v>860042</v>
      </c>
      <c r="C264" s="118"/>
      <c r="G264" s="88">
        <f t="shared" si="4"/>
        <v>0</v>
      </c>
    </row>
    <row r="265" spans="1:7">
      <c r="A265" s="58" t="s">
        <v>452</v>
      </c>
      <c r="B265" s="123">
        <v>860040</v>
      </c>
      <c r="C265" s="118"/>
      <c r="G265" s="88">
        <f t="shared" si="4"/>
        <v>0</v>
      </c>
    </row>
    <row r="266" spans="1:7">
      <c r="A266" s="57" t="s">
        <v>453</v>
      </c>
      <c r="B266" s="124">
        <v>860022</v>
      </c>
      <c r="C266" s="118"/>
      <c r="G266" s="88">
        <f t="shared" si="4"/>
        <v>0</v>
      </c>
    </row>
    <row r="267" spans="1:7">
      <c r="A267" s="58" t="s">
        <v>454</v>
      </c>
      <c r="B267" s="123">
        <v>860131</v>
      </c>
      <c r="C267" s="118"/>
      <c r="G267" s="88">
        <f t="shared" si="4"/>
        <v>0</v>
      </c>
    </row>
    <row r="268" spans="1:7">
      <c r="A268" s="57" t="s">
        <v>455</v>
      </c>
      <c r="B268" s="124">
        <v>860015</v>
      </c>
      <c r="C268" s="118"/>
      <c r="G268" s="88">
        <f t="shared" si="4"/>
        <v>0</v>
      </c>
    </row>
    <row r="269" spans="1:7">
      <c r="A269" s="58" t="s">
        <v>456</v>
      </c>
      <c r="B269" s="123">
        <v>860021</v>
      </c>
      <c r="C269" s="118"/>
      <c r="G269" s="88">
        <f t="shared" si="4"/>
        <v>0</v>
      </c>
    </row>
    <row r="270" spans="1:7">
      <c r="A270" s="57" t="s">
        <v>457</v>
      </c>
      <c r="B270" s="124">
        <v>860059</v>
      </c>
      <c r="C270" s="118"/>
      <c r="G270" s="88">
        <f t="shared" si="4"/>
        <v>0</v>
      </c>
    </row>
    <row r="271" spans="1:7">
      <c r="A271" s="58" t="s">
        <v>458</v>
      </c>
      <c r="B271" s="123">
        <v>860041</v>
      </c>
      <c r="C271" s="118"/>
      <c r="G271" s="88">
        <f t="shared" si="4"/>
        <v>0</v>
      </c>
    </row>
    <row r="272" spans="1:7">
      <c r="A272" s="57" t="s">
        <v>459</v>
      </c>
      <c r="B272" s="124">
        <v>860089</v>
      </c>
      <c r="C272" s="118">
        <v>3100</v>
      </c>
      <c r="G272" s="88">
        <f t="shared" si="4"/>
        <v>3100</v>
      </c>
    </row>
    <row r="273" spans="1:7">
      <c r="A273" s="58" t="s">
        <v>460</v>
      </c>
      <c r="B273" s="123">
        <v>860029</v>
      </c>
      <c r="C273" s="118"/>
      <c r="G273" s="88">
        <f t="shared" si="4"/>
        <v>0</v>
      </c>
    </row>
    <row r="274" spans="1:7">
      <c r="A274" s="57" t="s">
        <v>461</v>
      </c>
      <c r="B274" s="124">
        <v>860097</v>
      </c>
      <c r="C274" s="118"/>
      <c r="G274" s="88">
        <f t="shared" si="4"/>
        <v>0</v>
      </c>
    </row>
    <row r="275" spans="1:7">
      <c r="A275" s="58" t="s">
        <v>462</v>
      </c>
      <c r="B275" s="123">
        <v>860024</v>
      </c>
      <c r="C275" s="118"/>
      <c r="G275" s="88">
        <f t="shared" si="4"/>
        <v>0</v>
      </c>
    </row>
    <row r="276" spans="1:7">
      <c r="A276" s="57" t="s">
        <v>463</v>
      </c>
      <c r="B276" s="124">
        <v>860157</v>
      </c>
      <c r="C276" s="118"/>
      <c r="G276" s="88">
        <f t="shared" si="4"/>
        <v>0</v>
      </c>
    </row>
    <row r="277" spans="1:7">
      <c r="A277" s="58" t="s">
        <v>464</v>
      </c>
      <c r="B277" s="123">
        <v>860142</v>
      </c>
      <c r="C277" s="118"/>
      <c r="G277" s="88">
        <f t="shared" si="4"/>
        <v>0</v>
      </c>
    </row>
    <row r="278" spans="1:7">
      <c r="A278" s="57" t="s">
        <v>465</v>
      </c>
      <c r="B278" s="124">
        <v>860034</v>
      </c>
      <c r="C278" s="118"/>
      <c r="G278" s="88">
        <f t="shared" si="4"/>
        <v>0</v>
      </c>
    </row>
    <row r="279" spans="1:7">
      <c r="A279" s="58" t="s">
        <v>466</v>
      </c>
      <c r="B279" s="123">
        <v>860155</v>
      </c>
      <c r="C279" s="118"/>
      <c r="G279" s="88">
        <f t="shared" si="4"/>
        <v>0</v>
      </c>
    </row>
    <row r="280" spans="1:7">
      <c r="A280" s="57" t="s">
        <v>467</v>
      </c>
      <c r="B280" s="124">
        <v>860067</v>
      </c>
      <c r="C280" s="118"/>
      <c r="G280" s="88">
        <f t="shared" si="4"/>
        <v>0</v>
      </c>
    </row>
    <row r="281" spans="1:7">
      <c r="A281" s="58" t="s">
        <v>468</v>
      </c>
      <c r="B281" s="123">
        <v>860146</v>
      </c>
      <c r="C281" s="118"/>
      <c r="G281" s="88">
        <f t="shared" si="4"/>
        <v>0</v>
      </c>
    </row>
    <row r="282" spans="1:7">
      <c r="A282" s="57" t="s">
        <v>469</v>
      </c>
      <c r="B282" s="124">
        <v>860037</v>
      </c>
      <c r="C282" s="118"/>
      <c r="G282" s="88">
        <f t="shared" si="4"/>
        <v>0</v>
      </c>
    </row>
    <row r="283" spans="1:7">
      <c r="A283" s="58" t="s">
        <v>470</v>
      </c>
      <c r="B283" s="123">
        <v>860144</v>
      </c>
      <c r="C283" s="118"/>
      <c r="G283" s="88">
        <f t="shared" si="4"/>
        <v>0</v>
      </c>
    </row>
    <row r="284" spans="1:7">
      <c r="A284" s="57" t="s">
        <v>471</v>
      </c>
      <c r="B284" s="124">
        <v>860149</v>
      </c>
      <c r="C284" s="118"/>
      <c r="G284" s="88">
        <f t="shared" si="4"/>
        <v>0</v>
      </c>
    </row>
    <row r="285" spans="1:7">
      <c r="A285" s="58" t="s">
        <v>472</v>
      </c>
      <c r="B285" s="123">
        <v>860044</v>
      </c>
      <c r="C285" s="118"/>
      <c r="G285" s="88">
        <f t="shared" si="4"/>
        <v>0</v>
      </c>
    </row>
    <row r="286" spans="1:7">
      <c r="A286" s="57" t="s">
        <v>473</v>
      </c>
      <c r="B286" s="124">
        <v>860159</v>
      </c>
      <c r="C286" s="118"/>
      <c r="G286" s="88">
        <f t="shared" si="4"/>
        <v>0</v>
      </c>
    </row>
    <row r="287" spans="1:7">
      <c r="A287" s="58" t="s">
        <v>474</v>
      </c>
      <c r="B287" s="123">
        <v>860075</v>
      </c>
      <c r="C287" s="118"/>
      <c r="G287" s="88">
        <f t="shared" si="4"/>
        <v>0</v>
      </c>
    </row>
    <row r="288" spans="1:7">
      <c r="A288" s="57" t="s">
        <v>475</v>
      </c>
      <c r="B288" s="124">
        <v>860096</v>
      </c>
      <c r="C288" s="118"/>
      <c r="G288" s="88">
        <f t="shared" si="4"/>
        <v>0</v>
      </c>
    </row>
    <row r="289" spans="1:7">
      <c r="A289" s="58" t="s">
        <v>476</v>
      </c>
      <c r="B289" s="123">
        <v>860102</v>
      </c>
      <c r="C289" s="118"/>
      <c r="G289" s="88">
        <f t="shared" si="4"/>
        <v>0</v>
      </c>
    </row>
    <row r="290" spans="1:7">
      <c r="A290" s="57" t="s">
        <v>477</v>
      </c>
      <c r="B290" s="124">
        <v>860077</v>
      </c>
      <c r="C290" s="118"/>
      <c r="G290" s="88">
        <f t="shared" si="4"/>
        <v>0</v>
      </c>
    </row>
    <row r="291" spans="1:7">
      <c r="A291" s="58" t="s">
        <v>478</v>
      </c>
      <c r="B291" s="123">
        <v>860154</v>
      </c>
      <c r="C291" s="118"/>
      <c r="G291" s="88">
        <f t="shared" si="4"/>
        <v>0</v>
      </c>
    </row>
    <row r="292" spans="1:7">
      <c r="A292" s="57" t="s">
        <v>479</v>
      </c>
      <c r="B292" s="124">
        <v>870061</v>
      </c>
      <c r="C292" s="118"/>
      <c r="G292" s="88">
        <f t="shared" si="4"/>
        <v>0</v>
      </c>
    </row>
    <row r="293" spans="1:7">
      <c r="A293" s="58" t="s">
        <v>480</v>
      </c>
      <c r="B293" s="123">
        <v>860065</v>
      </c>
      <c r="C293" s="118"/>
      <c r="G293" s="88">
        <f t="shared" si="4"/>
        <v>0</v>
      </c>
    </row>
    <row r="294" spans="1:7">
      <c r="A294" s="57" t="s">
        <v>481</v>
      </c>
      <c r="B294" s="124">
        <v>860020</v>
      </c>
      <c r="C294" s="118">
        <v>300</v>
      </c>
      <c r="G294" s="88">
        <f t="shared" si="4"/>
        <v>300</v>
      </c>
    </row>
    <row r="295" spans="1:7">
      <c r="A295" s="58" t="s">
        <v>482</v>
      </c>
      <c r="B295" s="123">
        <v>860158</v>
      </c>
      <c r="C295" s="118"/>
      <c r="G295" s="88">
        <f t="shared" si="4"/>
        <v>0</v>
      </c>
    </row>
    <row r="296" spans="1:7">
      <c r="A296" s="57" t="s">
        <v>483</v>
      </c>
      <c r="B296" s="124">
        <v>860104</v>
      </c>
      <c r="C296" s="118"/>
      <c r="G296" s="88">
        <f t="shared" si="4"/>
        <v>0</v>
      </c>
    </row>
    <row r="297" spans="1:7">
      <c r="A297" s="58" t="s">
        <v>484</v>
      </c>
      <c r="B297" s="123">
        <v>860151</v>
      </c>
      <c r="C297" s="118"/>
      <c r="G297" s="88">
        <f t="shared" si="4"/>
        <v>0</v>
      </c>
    </row>
    <row r="298" spans="1:7">
      <c r="A298" s="57" t="s">
        <v>485</v>
      </c>
      <c r="B298" s="124">
        <v>860148</v>
      </c>
      <c r="C298" s="118"/>
      <c r="G298" s="88">
        <f t="shared" si="4"/>
        <v>0</v>
      </c>
    </row>
    <row r="299" spans="1:7">
      <c r="A299" s="58" t="s">
        <v>486</v>
      </c>
      <c r="B299" s="123">
        <v>860145</v>
      </c>
      <c r="C299" s="118"/>
      <c r="G299" s="88">
        <f t="shared" si="4"/>
        <v>0</v>
      </c>
    </row>
    <row r="300" spans="1:7">
      <c r="A300" s="57" t="s">
        <v>487</v>
      </c>
      <c r="B300" s="124">
        <v>860011</v>
      </c>
      <c r="C300" s="118"/>
      <c r="G300" s="88">
        <f t="shared" si="4"/>
        <v>0</v>
      </c>
    </row>
    <row r="301" spans="1:7">
      <c r="A301" s="58" t="s">
        <v>488</v>
      </c>
      <c r="B301" s="123">
        <v>860108</v>
      </c>
      <c r="C301" s="118"/>
      <c r="G301" s="88">
        <f t="shared" si="4"/>
        <v>0</v>
      </c>
    </row>
    <row r="302" spans="1:7">
      <c r="A302" s="57" t="s">
        <v>489</v>
      </c>
      <c r="B302" s="124">
        <v>860129</v>
      </c>
      <c r="C302" s="118"/>
      <c r="G302" s="88">
        <f t="shared" si="4"/>
        <v>0</v>
      </c>
    </row>
    <row r="303" spans="1:7">
      <c r="A303" s="58" t="s">
        <v>490</v>
      </c>
      <c r="B303" s="123">
        <v>860143</v>
      </c>
      <c r="C303" s="118"/>
      <c r="G303" s="88">
        <f t="shared" si="4"/>
        <v>0</v>
      </c>
    </row>
    <row r="304" spans="1:7">
      <c r="A304" s="57" t="s">
        <v>491</v>
      </c>
      <c r="B304" s="124">
        <v>860103</v>
      </c>
      <c r="C304" s="118"/>
      <c r="G304" s="88">
        <f t="shared" si="4"/>
        <v>0</v>
      </c>
    </row>
    <row r="305" spans="1:7">
      <c r="A305" s="58" t="s">
        <v>492</v>
      </c>
      <c r="B305" s="123">
        <v>860093</v>
      </c>
      <c r="C305" s="118"/>
      <c r="G305" s="88">
        <f t="shared" si="4"/>
        <v>0</v>
      </c>
    </row>
    <row r="306" spans="1:7">
      <c r="A306" s="57" t="s">
        <v>493</v>
      </c>
      <c r="B306" s="124">
        <v>860150</v>
      </c>
      <c r="C306" s="118"/>
      <c r="G306" s="88">
        <f t="shared" si="4"/>
        <v>0</v>
      </c>
    </row>
    <row r="307" spans="1:7">
      <c r="A307" s="58" t="s">
        <v>494</v>
      </c>
      <c r="B307" s="123">
        <v>860147</v>
      </c>
      <c r="C307" s="118"/>
      <c r="G307" s="88">
        <f t="shared" si="4"/>
        <v>0</v>
      </c>
    </row>
    <row r="308" spans="1:7">
      <c r="A308" s="57" t="s">
        <v>495</v>
      </c>
      <c r="B308" s="124">
        <v>860161</v>
      </c>
      <c r="C308" s="118"/>
      <c r="G308" s="88">
        <f t="shared" si="4"/>
        <v>0</v>
      </c>
    </row>
    <row r="309" spans="1:7">
      <c r="A309" s="58" t="s">
        <v>496</v>
      </c>
      <c r="B309" s="123">
        <v>860141</v>
      </c>
      <c r="C309" s="118"/>
      <c r="G309" s="88">
        <f t="shared" si="4"/>
        <v>0</v>
      </c>
    </row>
    <row r="310" spans="1:7">
      <c r="A310" s="57" t="s">
        <v>497</v>
      </c>
      <c r="B310" s="124">
        <v>860128</v>
      </c>
      <c r="C310" s="118"/>
      <c r="G310" s="88">
        <f t="shared" si="4"/>
        <v>0</v>
      </c>
    </row>
    <row r="311" spans="1:7">
      <c r="A311" s="58" t="s">
        <v>498</v>
      </c>
      <c r="B311" s="123">
        <v>860136</v>
      </c>
      <c r="C311" s="118"/>
      <c r="G311" s="88">
        <f t="shared" si="4"/>
        <v>0</v>
      </c>
    </row>
    <row r="312" spans="1:7">
      <c r="A312" s="57" t="s">
        <v>499</v>
      </c>
      <c r="B312" s="124">
        <v>860140</v>
      </c>
      <c r="C312" s="118"/>
      <c r="G312" s="88">
        <f t="shared" si="4"/>
        <v>0</v>
      </c>
    </row>
    <row r="313" spans="1:7">
      <c r="A313" s="58" t="s">
        <v>500</v>
      </c>
      <c r="B313" s="123">
        <v>860038</v>
      </c>
      <c r="C313" s="118"/>
      <c r="G313" s="88">
        <f t="shared" si="4"/>
        <v>0</v>
      </c>
    </row>
    <row r="314" spans="1:7">
      <c r="A314" s="57" t="s">
        <v>501</v>
      </c>
      <c r="B314" s="124">
        <v>860156</v>
      </c>
      <c r="C314" s="118"/>
      <c r="G314" s="88">
        <f t="shared" si="4"/>
        <v>0</v>
      </c>
    </row>
    <row r="315" spans="1:7">
      <c r="A315" s="58" t="s">
        <v>502</v>
      </c>
      <c r="B315" s="123">
        <v>860110</v>
      </c>
      <c r="C315" s="118"/>
      <c r="G315" s="88">
        <f t="shared" si="4"/>
        <v>0</v>
      </c>
    </row>
    <row r="316" spans="1:7">
      <c r="A316" s="57" t="s">
        <v>503</v>
      </c>
      <c r="B316" s="124">
        <v>860135</v>
      </c>
      <c r="C316" s="118"/>
      <c r="G316" s="88">
        <f t="shared" si="4"/>
        <v>0</v>
      </c>
    </row>
    <row r="317" spans="1:7">
      <c r="A317" s="58" t="s">
        <v>504</v>
      </c>
      <c r="B317" s="123">
        <v>860139</v>
      </c>
      <c r="C317" s="118"/>
      <c r="G317" s="88">
        <f t="shared" si="4"/>
        <v>0</v>
      </c>
    </row>
    <row r="318" spans="1:7">
      <c r="A318" s="57" t="s">
        <v>505</v>
      </c>
      <c r="B318" s="124">
        <v>860138</v>
      </c>
      <c r="C318" s="118"/>
      <c r="G318" s="88">
        <f t="shared" si="4"/>
        <v>0</v>
      </c>
    </row>
    <row r="319" spans="1:7">
      <c r="A319" s="58" t="s">
        <v>506</v>
      </c>
      <c r="B319" s="123">
        <v>860152</v>
      </c>
      <c r="C319" s="118"/>
      <c r="G319" s="88">
        <f t="shared" si="4"/>
        <v>0</v>
      </c>
    </row>
    <row r="320" spans="1:7">
      <c r="A320" s="57" t="s">
        <v>507</v>
      </c>
      <c r="B320" s="124">
        <v>860153</v>
      </c>
      <c r="C320" s="118"/>
      <c r="G320" s="88">
        <f t="shared" si="4"/>
        <v>0</v>
      </c>
    </row>
    <row r="321" spans="1:7">
      <c r="A321" s="58" t="s">
        <v>508</v>
      </c>
      <c r="B321" s="123">
        <v>860094</v>
      </c>
      <c r="C321" s="118"/>
      <c r="G321" s="88">
        <f t="shared" si="4"/>
        <v>0</v>
      </c>
    </row>
    <row r="322" spans="1:7">
      <c r="A322" s="57" t="s">
        <v>509</v>
      </c>
      <c r="B322" s="124">
        <v>860028</v>
      </c>
      <c r="C322" s="118"/>
      <c r="G322" s="88">
        <f t="shared" si="4"/>
        <v>0</v>
      </c>
    </row>
    <row r="323" spans="1:7">
      <c r="A323" s="58" t="s">
        <v>510</v>
      </c>
      <c r="B323" s="123">
        <v>860057</v>
      </c>
      <c r="C323" s="118"/>
      <c r="G323" s="88">
        <f t="shared" ref="G323:G386" si="5">C323-H323</f>
        <v>0</v>
      </c>
    </row>
    <row r="324" spans="1:7">
      <c r="A324" s="57" t="s">
        <v>511</v>
      </c>
      <c r="B324" s="124">
        <v>860046</v>
      </c>
      <c r="C324" s="118"/>
      <c r="G324" s="88">
        <f t="shared" si="5"/>
        <v>0</v>
      </c>
    </row>
    <row r="325" spans="1:7">
      <c r="A325" s="58" t="s">
        <v>512</v>
      </c>
      <c r="B325" s="123">
        <v>860039</v>
      </c>
      <c r="C325" s="118"/>
      <c r="G325" s="88">
        <f t="shared" si="5"/>
        <v>0</v>
      </c>
    </row>
    <row r="326" spans="1:7">
      <c r="A326" s="57" t="s">
        <v>513</v>
      </c>
      <c r="B326" s="124">
        <v>860045</v>
      </c>
      <c r="C326" s="118"/>
      <c r="G326" s="88">
        <f t="shared" si="5"/>
        <v>0</v>
      </c>
    </row>
    <row r="327" spans="1:7">
      <c r="A327" s="58" t="s">
        <v>514</v>
      </c>
      <c r="B327" s="123">
        <v>860127</v>
      </c>
      <c r="C327" s="118"/>
      <c r="G327" s="88">
        <f t="shared" si="5"/>
        <v>0</v>
      </c>
    </row>
    <row r="328" spans="1:7">
      <c r="A328" s="57" t="s">
        <v>515</v>
      </c>
      <c r="B328" s="124">
        <v>860126</v>
      </c>
      <c r="C328" s="118"/>
      <c r="G328" s="88">
        <f t="shared" si="5"/>
        <v>0</v>
      </c>
    </row>
    <row r="329" spans="1:7">
      <c r="A329" s="58" t="s">
        <v>516</v>
      </c>
      <c r="B329" s="123">
        <v>860590</v>
      </c>
      <c r="C329" s="118"/>
      <c r="G329" s="88">
        <f t="shared" si="5"/>
        <v>0</v>
      </c>
    </row>
    <row r="330" spans="1:7">
      <c r="A330" s="57" t="s">
        <v>517</v>
      </c>
      <c r="B330" s="124">
        <v>860035</v>
      </c>
      <c r="C330" s="118"/>
      <c r="G330" s="88">
        <f t="shared" si="5"/>
        <v>0</v>
      </c>
    </row>
    <row r="331" spans="1:7">
      <c r="A331" s="58" t="s">
        <v>518</v>
      </c>
      <c r="B331" s="123">
        <v>860023</v>
      </c>
      <c r="C331" s="118"/>
      <c r="G331" s="88">
        <f t="shared" si="5"/>
        <v>0</v>
      </c>
    </row>
    <row r="332" spans="1:7">
      <c r="A332" s="57" t="s">
        <v>519</v>
      </c>
      <c r="B332" s="124">
        <v>860052</v>
      </c>
      <c r="C332" s="118"/>
      <c r="G332" s="88">
        <f t="shared" si="5"/>
        <v>0</v>
      </c>
    </row>
    <row r="333" spans="1:7">
      <c r="A333" s="58" t="s">
        <v>519</v>
      </c>
      <c r="B333" s="123">
        <v>860052</v>
      </c>
      <c r="C333" s="118"/>
      <c r="G333" s="88">
        <f t="shared" si="5"/>
        <v>0</v>
      </c>
    </row>
    <row r="334" spans="1:7">
      <c r="A334" s="57" t="s">
        <v>520</v>
      </c>
      <c r="B334" s="124">
        <v>840205</v>
      </c>
      <c r="C334" s="118"/>
      <c r="G334" s="88">
        <f t="shared" si="5"/>
        <v>0</v>
      </c>
    </row>
    <row r="335" spans="1:7">
      <c r="A335" s="58" t="s">
        <v>521</v>
      </c>
      <c r="B335" s="123">
        <v>830101</v>
      </c>
      <c r="C335" s="118"/>
      <c r="G335" s="88">
        <f t="shared" si="5"/>
        <v>0</v>
      </c>
    </row>
    <row r="336" spans="1:7">
      <c r="A336" s="57" t="s">
        <v>522</v>
      </c>
      <c r="B336" s="124">
        <v>840101</v>
      </c>
      <c r="C336" s="118"/>
      <c r="G336" s="88">
        <f t="shared" si="5"/>
        <v>0</v>
      </c>
    </row>
    <row r="337" spans="1:7">
      <c r="A337" s="58" t="s">
        <v>523</v>
      </c>
      <c r="B337" s="123">
        <v>840102</v>
      </c>
      <c r="C337" s="118"/>
      <c r="G337" s="88">
        <f t="shared" si="5"/>
        <v>0</v>
      </c>
    </row>
    <row r="338" spans="1:7">
      <c r="A338" s="57" t="s">
        <v>524</v>
      </c>
      <c r="B338" s="124">
        <v>840206</v>
      </c>
      <c r="C338" s="118"/>
      <c r="G338" s="88">
        <f t="shared" si="5"/>
        <v>0</v>
      </c>
    </row>
    <row r="339" spans="1:7">
      <c r="A339" s="58" t="s">
        <v>525</v>
      </c>
      <c r="B339" s="123">
        <v>840207</v>
      </c>
      <c r="C339" s="118"/>
      <c r="G339" s="88">
        <f t="shared" si="5"/>
        <v>0</v>
      </c>
    </row>
    <row r="340" spans="1:7">
      <c r="A340" s="57" t="s">
        <v>526</v>
      </c>
      <c r="B340" s="124">
        <v>840203</v>
      </c>
      <c r="C340" s="118"/>
      <c r="G340" s="88">
        <f t="shared" si="5"/>
        <v>0</v>
      </c>
    </row>
    <row r="341" spans="1:7">
      <c r="A341" s="58" t="s">
        <v>527</v>
      </c>
      <c r="B341" s="123">
        <v>840202</v>
      </c>
      <c r="C341" s="118"/>
      <c r="G341" s="88">
        <f t="shared" si="5"/>
        <v>0</v>
      </c>
    </row>
    <row r="342" spans="1:7">
      <c r="A342" s="57" t="s">
        <v>528</v>
      </c>
      <c r="B342" s="124">
        <v>860206</v>
      </c>
      <c r="C342" s="118"/>
      <c r="G342" s="88">
        <f t="shared" si="5"/>
        <v>0</v>
      </c>
    </row>
    <row r="343" spans="1:7">
      <c r="A343" s="58" t="s">
        <v>529</v>
      </c>
      <c r="B343" s="123">
        <v>740020</v>
      </c>
      <c r="C343" s="118"/>
      <c r="G343" s="88">
        <f t="shared" si="5"/>
        <v>0</v>
      </c>
    </row>
    <row r="344" spans="1:7">
      <c r="A344" s="57" t="s">
        <v>530</v>
      </c>
      <c r="B344" s="124">
        <v>740014</v>
      </c>
      <c r="C344" s="118"/>
      <c r="G344" s="88">
        <f t="shared" si="5"/>
        <v>0</v>
      </c>
    </row>
    <row r="345" spans="1:7">
      <c r="A345" s="58" t="s">
        <v>531</v>
      </c>
      <c r="B345" s="123">
        <v>740002</v>
      </c>
      <c r="C345" s="118"/>
      <c r="G345" s="88">
        <f t="shared" si="5"/>
        <v>0</v>
      </c>
    </row>
    <row r="346" spans="1:7">
      <c r="A346" s="57" t="s">
        <v>532</v>
      </c>
      <c r="B346" s="124">
        <v>740013</v>
      </c>
      <c r="C346" s="118"/>
      <c r="G346" s="88">
        <f t="shared" si="5"/>
        <v>0</v>
      </c>
    </row>
    <row r="347" spans="1:7">
      <c r="A347" s="58" t="s">
        <v>533</v>
      </c>
      <c r="B347" s="123">
        <v>634612</v>
      </c>
      <c r="C347" s="118"/>
      <c r="G347" s="88">
        <f t="shared" si="5"/>
        <v>0</v>
      </c>
    </row>
    <row r="348" spans="1:7">
      <c r="A348" s="57" t="s">
        <v>534</v>
      </c>
      <c r="B348" s="124">
        <v>630018</v>
      </c>
      <c r="C348" s="118"/>
      <c r="G348" s="88">
        <f t="shared" si="5"/>
        <v>0</v>
      </c>
    </row>
    <row r="349" spans="1:7">
      <c r="A349" s="58" t="s">
        <v>535</v>
      </c>
      <c r="B349" s="123">
        <v>630700</v>
      </c>
      <c r="C349" s="118"/>
      <c r="G349" s="88">
        <f t="shared" si="5"/>
        <v>0</v>
      </c>
    </row>
    <row r="350" spans="1:7">
      <c r="A350" s="57" t="s">
        <v>536</v>
      </c>
      <c r="B350" s="124">
        <v>630710</v>
      </c>
      <c r="C350" s="118"/>
      <c r="G350" s="88">
        <f t="shared" si="5"/>
        <v>0</v>
      </c>
    </row>
    <row r="351" spans="1:7">
      <c r="A351" s="58" t="s">
        <v>537</v>
      </c>
      <c r="B351" s="123">
        <v>630772</v>
      </c>
      <c r="C351" s="118"/>
      <c r="G351" s="88">
        <f t="shared" si="5"/>
        <v>0</v>
      </c>
    </row>
    <row r="352" spans="1:7">
      <c r="A352" s="57" t="s">
        <v>538</v>
      </c>
      <c r="B352" s="124">
        <v>633375</v>
      </c>
      <c r="C352" s="118"/>
      <c r="G352" s="88">
        <f t="shared" si="5"/>
        <v>0</v>
      </c>
    </row>
    <row r="353" spans="1:7">
      <c r="A353" s="58" t="s">
        <v>539</v>
      </c>
      <c r="B353" s="123">
        <v>634594</v>
      </c>
      <c r="C353" s="118"/>
      <c r="G353" s="88">
        <f t="shared" si="5"/>
        <v>0</v>
      </c>
    </row>
    <row r="354" spans="1:7">
      <c r="A354" s="57" t="s">
        <v>540</v>
      </c>
      <c r="B354" s="124">
        <v>630870</v>
      </c>
      <c r="C354" s="118"/>
      <c r="G354" s="88">
        <f t="shared" si="5"/>
        <v>0</v>
      </c>
    </row>
    <row r="355" spans="1:7">
      <c r="A355" s="58" t="s">
        <v>541</v>
      </c>
      <c r="B355" s="123">
        <v>630128</v>
      </c>
      <c r="C355" s="118"/>
      <c r="G355" s="88">
        <f t="shared" si="5"/>
        <v>0</v>
      </c>
    </row>
    <row r="356" spans="1:7">
      <c r="A356" s="57" t="s">
        <v>542</v>
      </c>
      <c r="B356" s="124">
        <v>630875</v>
      </c>
      <c r="C356" s="118"/>
      <c r="G356" s="88">
        <f t="shared" si="5"/>
        <v>0</v>
      </c>
    </row>
    <row r="357" spans="1:7">
      <c r="A357" s="58" t="s">
        <v>543</v>
      </c>
      <c r="B357" s="123">
        <v>630133</v>
      </c>
      <c r="C357" s="118"/>
      <c r="G357" s="88">
        <f t="shared" si="5"/>
        <v>0</v>
      </c>
    </row>
    <row r="358" spans="1:7">
      <c r="A358" s="57" t="s">
        <v>544</v>
      </c>
      <c r="B358" s="124">
        <v>630880</v>
      </c>
      <c r="C358" s="118"/>
      <c r="G358" s="88">
        <f t="shared" si="5"/>
        <v>0</v>
      </c>
    </row>
    <row r="359" spans="1:7">
      <c r="A359" s="58" t="s">
        <v>545</v>
      </c>
      <c r="B359" s="123">
        <v>630883</v>
      </c>
      <c r="C359" s="118"/>
      <c r="G359" s="88">
        <f t="shared" si="5"/>
        <v>0</v>
      </c>
    </row>
    <row r="360" spans="1:7">
      <c r="A360" s="57" t="s">
        <v>546</v>
      </c>
      <c r="B360" s="124">
        <v>630138</v>
      </c>
      <c r="C360" s="118"/>
      <c r="G360" s="88">
        <f t="shared" si="5"/>
        <v>0</v>
      </c>
    </row>
    <row r="361" spans="1:7">
      <c r="A361" s="58" t="s">
        <v>547</v>
      </c>
      <c r="B361" s="123">
        <v>630369</v>
      </c>
      <c r="C361" s="118"/>
      <c r="G361" s="88">
        <f t="shared" si="5"/>
        <v>0</v>
      </c>
    </row>
    <row r="362" spans="1:7">
      <c r="A362" s="57" t="s">
        <v>548</v>
      </c>
      <c r="B362" s="124">
        <v>633478</v>
      </c>
      <c r="C362" s="118"/>
      <c r="G362" s="88">
        <f t="shared" si="5"/>
        <v>0</v>
      </c>
    </row>
    <row r="363" spans="1:7">
      <c r="A363" s="58" t="s">
        <v>549</v>
      </c>
      <c r="B363" s="123">
        <v>634579</v>
      </c>
      <c r="C363" s="118"/>
      <c r="G363" s="88">
        <f t="shared" si="5"/>
        <v>0</v>
      </c>
    </row>
    <row r="364" spans="1:7">
      <c r="A364" s="57" t="s">
        <v>550</v>
      </c>
      <c r="B364" s="124">
        <v>633483</v>
      </c>
      <c r="C364" s="118"/>
      <c r="G364" s="88">
        <f t="shared" si="5"/>
        <v>0</v>
      </c>
    </row>
    <row r="365" spans="1:7">
      <c r="A365" s="58" t="s">
        <v>551</v>
      </c>
      <c r="B365" s="123">
        <v>630892</v>
      </c>
      <c r="C365" s="118"/>
      <c r="G365" s="88">
        <f t="shared" si="5"/>
        <v>0</v>
      </c>
    </row>
    <row r="366" spans="1:7">
      <c r="A366" s="57" t="s">
        <v>552</v>
      </c>
      <c r="B366" s="124">
        <v>633485</v>
      </c>
      <c r="C366" s="118"/>
      <c r="G366" s="88">
        <f t="shared" si="5"/>
        <v>0</v>
      </c>
    </row>
    <row r="367" spans="1:7">
      <c r="A367" s="58" t="s">
        <v>553</v>
      </c>
      <c r="B367" s="123">
        <v>630895</v>
      </c>
      <c r="C367" s="118"/>
      <c r="G367" s="88">
        <f t="shared" si="5"/>
        <v>0</v>
      </c>
    </row>
    <row r="368" spans="1:7">
      <c r="A368" s="57" t="s">
        <v>554</v>
      </c>
      <c r="B368" s="124">
        <v>633488</v>
      </c>
      <c r="C368" s="118"/>
      <c r="G368" s="88">
        <f t="shared" si="5"/>
        <v>0</v>
      </c>
    </row>
    <row r="369" spans="1:7">
      <c r="A369" s="58" t="s">
        <v>555</v>
      </c>
      <c r="B369" s="123">
        <v>634580</v>
      </c>
      <c r="C369" s="118"/>
      <c r="G369" s="88">
        <f t="shared" si="5"/>
        <v>0</v>
      </c>
    </row>
    <row r="370" spans="1:7">
      <c r="A370" s="57" t="s">
        <v>556</v>
      </c>
      <c r="B370" s="124">
        <v>630989</v>
      </c>
      <c r="C370" s="118"/>
      <c r="G370" s="88">
        <f t="shared" si="5"/>
        <v>0</v>
      </c>
    </row>
    <row r="371" spans="1:7">
      <c r="A371" s="58" t="s">
        <v>557</v>
      </c>
      <c r="B371" s="123">
        <v>631056</v>
      </c>
      <c r="C371" s="118"/>
      <c r="G371" s="88">
        <f t="shared" si="5"/>
        <v>0</v>
      </c>
    </row>
    <row r="372" spans="1:7">
      <c r="A372" s="57" t="s">
        <v>558</v>
      </c>
      <c r="B372" s="124">
        <v>631057</v>
      </c>
      <c r="C372" s="118"/>
      <c r="G372" s="88">
        <f t="shared" si="5"/>
        <v>0</v>
      </c>
    </row>
    <row r="373" spans="1:7">
      <c r="A373" s="58" t="s">
        <v>559</v>
      </c>
      <c r="B373" s="123">
        <v>630235</v>
      </c>
      <c r="C373" s="118"/>
      <c r="G373" s="88">
        <f t="shared" si="5"/>
        <v>0</v>
      </c>
    </row>
    <row r="374" spans="1:7">
      <c r="A374" s="57" t="s">
        <v>560</v>
      </c>
      <c r="B374" s="124">
        <v>633653</v>
      </c>
      <c r="C374" s="118"/>
      <c r="G374" s="88">
        <f t="shared" si="5"/>
        <v>0</v>
      </c>
    </row>
    <row r="375" spans="1:7">
      <c r="A375" s="58" t="s">
        <v>561</v>
      </c>
      <c r="B375" s="123">
        <v>631066</v>
      </c>
      <c r="C375" s="118"/>
      <c r="G375" s="88">
        <f t="shared" si="5"/>
        <v>0</v>
      </c>
    </row>
    <row r="376" spans="1:7">
      <c r="A376" s="57" t="s">
        <v>562</v>
      </c>
      <c r="B376" s="124">
        <v>633658</v>
      </c>
      <c r="C376" s="118"/>
      <c r="G376" s="88">
        <f t="shared" si="5"/>
        <v>0</v>
      </c>
    </row>
    <row r="377" spans="1:7">
      <c r="A377" s="58" t="s">
        <v>563</v>
      </c>
      <c r="B377" s="123">
        <v>631071</v>
      </c>
      <c r="C377" s="118"/>
      <c r="G377" s="88">
        <f t="shared" si="5"/>
        <v>0</v>
      </c>
    </row>
    <row r="378" spans="1:7">
      <c r="A378" s="57" t="s">
        <v>564</v>
      </c>
      <c r="B378" s="124">
        <v>633663</v>
      </c>
      <c r="C378" s="118"/>
      <c r="G378" s="88">
        <f t="shared" si="5"/>
        <v>0</v>
      </c>
    </row>
    <row r="379" spans="1:7">
      <c r="A379" s="58" t="s">
        <v>565</v>
      </c>
      <c r="B379" s="123">
        <v>633673</v>
      </c>
      <c r="C379" s="118"/>
      <c r="G379" s="88">
        <f t="shared" si="5"/>
        <v>0</v>
      </c>
    </row>
    <row r="380" spans="1:7">
      <c r="A380" s="57" t="s">
        <v>566</v>
      </c>
      <c r="B380" s="124">
        <v>633802</v>
      </c>
      <c r="C380" s="118"/>
      <c r="G380" s="88">
        <f t="shared" si="5"/>
        <v>0</v>
      </c>
    </row>
    <row r="381" spans="1:7">
      <c r="A381" s="58" t="s">
        <v>567</v>
      </c>
      <c r="B381" s="123">
        <v>633812</v>
      </c>
      <c r="C381" s="118"/>
      <c r="G381" s="88">
        <f t="shared" si="5"/>
        <v>0</v>
      </c>
    </row>
    <row r="382" spans="1:7">
      <c r="A382" s="57" t="s">
        <v>568</v>
      </c>
      <c r="B382" s="124">
        <v>633825</v>
      </c>
      <c r="C382" s="118"/>
      <c r="G382" s="88">
        <f t="shared" si="5"/>
        <v>0</v>
      </c>
    </row>
    <row r="383" spans="1:7">
      <c r="A383" s="58" t="s">
        <v>569</v>
      </c>
      <c r="B383" s="123">
        <v>631236</v>
      </c>
      <c r="C383" s="118"/>
      <c r="G383" s="88">
        <f t="shared" si="5"/>
        <v>0</v>
      </c>
    </row>
    <row r="384" spans="1:7">
      <c r="A384" s="57" t="s">
        <v>570</v>
      </c>
      <c r="B384" s="124">
        <v>634601</v>
      </c>
      <c r="C384" s="118"/>
      <c r="G384" s="88">
        <f t="shared" si="5"/>
        <v>0</v>
      </c>
    </row>
    <row r="385" spans="1:7">
      <c r="A385" s="58" t="s">
        <v>571</v>
      </c>
      <c r="B385" s="123">
        <v>631246</v>
      </c>
      <c r="C385" s="118"/>
      <c r="G385" s="88">
        <f t="shared" si="5"/>
        <v>0</v>
      </c>
    </row>
    <row r="386" spans="1:7">
      <c r="A386" s="57" t="s">
        <v>572</v>
      </c>
      <c r="B386" s="124">
        <v>633838</v>
      </c>
      <c r="C386" s="118"/>
      <c r="G386" s="88">
        <f t="shared" si="5"/>
        <v>0</v>
      </c>
    </row>
    <row r="387" spans="1:7">
      <c r="A387" s="58" t="s">
        <v>573</v>
      </c>
      <c r="B387" s="123">
        <v>634599</v>
      </c>
      <c r="C387" s="118"/>
      <c r="G387" s="88">
        <f t="shared" ref="G387:G450" si="6">C387-H387</f>
        <v>0</v>
      </c>
    </row>
    <row r="388" spans="1:7">
      <c r="A388" s="57" t="s">
        <v>573</v>
      </c>
      <c r="B388" s="124">
        <v>634600</v>
      </c>
      <c r="C388" s="118"/>
      <c r="G388" s="88">
        <f t="shared" si="6"/>
        <v>0</v>
      </c>
    </row>
    <row r="389" spans="1:7">
      <c r="A389" s="58" t="s">
        <v>574</v>
      </c>
      <c r="B389" s="123">
        <v>634018</v>
      </c>
      <c r="C389" s="118"/>
      <c r="G389" s="88">
        <f t="shared" si="6"/>
        <v>0</v>
      </c>
    </row>
    <row r="390" spans="1:7">
      <c r="A390" s="57" t="s">
        <v>575</v>
      </c>
      <c r="B390" s="124">
        <v>634126</v>
      </c>
      <c r="C390" s="118"/>
      <c r="G390" s="88">
        <f t="shared" si="6"/>
        <v>0</v>
      </c>
    </row>
    <row r="391" spans="1:7">
      <c r="A391" s="58" t="s">
        <v>576</v>
      </c>
      <c r="B391" s="123">
        <v>634581</v>
      </c>
      <c r="C391" s="118"/>
      <c r="G391" s="88">
        <f t="shared" si="6"/>
        <v>0</v>
      </c>
    </row>
    <row r="392" spans="1:7">
      <c r="A392" s="57" t="s">
        <v>577</v>
      </c>
      <c r="B392" s="124">
        <v>634607</v>
      </c>
      <c r="C392" s="118"/>
      <c r="G392" s="88">
        <f t="shared" si="6"/>
        <v>0</v>
      </c>
    </row>
    <row r="393" spans="1:7">
      <c r="A393" s="58" t="s">
        <v>578</v>
      </c>
      <c r="B393" s="123">
        <v>634595</v>
      </c>
      <c r="C393" s="118"/>
      <c r="G393" s="88">
        <f t="shared" si="6"/>
        <v>0</v>
      </c>
    </row>
    <row r="394" spans="1:7">
      <c r="A394" s="57" t="s">
        <v>579</v>
      </c>
      <c r="B394" s="124">
        <v>634605</v>
      </c>
      <c r="C394" s="118"/>
      <c r="G394" s="88">
        <f t="shared" si="6"/>
        <v>0</v>
      </c>
    </row>
    <row r="395" spans="1:7">
      <c r="A395" s="58" t="s">
        <v>580</v>
      </c>
      <c r="B395" s="123">
        <v>634608</v>
      </c>
      <c r="C395" s="118"/>
      <c r="G395" s="88">
        <f t="shared" si="6"/>
        <v>0</v>
      </c>
    </row>
    <row r="396" spans="1:7">
      <c r="A396" s="57" t="s">
        <v>581</v>
      </c>
      <c r="B396" s="124">
        <v>634590</v>
      </c>
      <c r="C396" s="118"/>
      <c r="G396" s="88">
        <f t="shared" si="6"/>
        <v>0</v>
      </c>
    </row>
    <row r="397" spans="1:7">
      <c r="A397" s="58" t="s">
        <v>582</v>
      </c>
      <c r="B397" s="123">
        <v>634596</v>
      </c>
      <c r="C397" s="118"/>
      <c r="G397" s="88">
        <f t="shared" si="6"/>
        <v>0</v>
      </c>
    </row>
    <row r="398" spans="1:7">
      <c r="A398" s="57" t="s">
        <v>583</v>
      </c>
      <c r="B398" s="124">
        <v>634604</v>
      </c>
      <c r="C398" s="118"/>
      <c r="G398" s="88">
        <f t="shared" si="6"/>
        <v>0</v>
      </c>
    </row>
    <row r="399" spans="1:7">
      <c r="A399" s="58" t="s">
        <v>584</v>
      </c>
      <c r="B399" s="123">
        <v>634602</v>
      </c>
      <c r="C399" s="118"/>
      <c r="G399" s="88">
        <f t="shared" si="6"/>
        <v>0</v>
      </c>
    </row>
    <row r="400" spans="1:7">
      <c r="A400" s="57" t="s">
        <v>585</v>
      </c>
      <c r="B400" s="124">
        <v>634610</v>
      </c>
      <c r="C400" s="118"/>
      <c r="G400" s="88">
        <f t="shared" si="6"/>
        <v>0</v>
      </c>
    </row>
    <row r="401" spans="1:7">
      <c r="A401" s="58" t="s">
        <v>586</v>
      </c>
      <c r="B401" s="123">
        <v>634583</v>
      </c>
      <c r="C401" s="118"/>
      <c r="G401" s="88">
        <f t="shared" si="6"/>
        <v>0</v>
      </c>
    </row>
    <row r="402" spans="1:7">
      <c r="A402" s="57" t="s">
        <v>587</v>
      </c>
      <c r="B402" s="124">
        <v>634582</v>
      </c>
      <c r="C402" s="118"/>
      <c r="G402" s="88">
        <f t="shared" si="6"/>
        <v>0</v>
      </c>
    </row>
    <row r="403" spans="1:7">
      <c r="A403" s="58" t="s">
        <v>588</v>
      </c>
      <c r="B403" s="123">
        <v>624602</v>
      </c>
      <c r="C403" s="118"/>
      <c r="G403" s="88">
        <f t="shared" si="6"/>
        <v>0</v>
      </c>
    </row>
    <row r="404" spans="1:7">
      <c r="A404" s="57" t="s">
        <v>589</v>
      </c>
      <c r="B404" s="124">
        <v>624597</v>
      </c>
      <c r="C404" s="118"/>
      <c r="G404" s="88">
        <f t="shared" si="6"/>
        <v>0</v>
      </c>
    </row>
    <row r="405" spans="1:7">
      <c r="A405" s="58" t="s">
        <v>590</v>
      </c>
      <c r="B405" s="123">
        <v>624607</v>
      </c>
      <c r="C405" s="118"/>
      <c r="G405" s="88">
        <f t="shared" si="6"/>
        <v>0</v>
      </c>
    </row>
    <row r="406" spans="1:7">
      <c r="A406" s="57" t="s">
        <v>591</v>
      </c>
      <c r="B406" s="124">
        <v>624606</v>
      </c>
      <c r="C406" s="118"/>
      <c r="G406" s="88">
        <f t="shared" si="6"/>
        <v>0</v>
      </c>
    </row>
    <row r="407" spans="1:7">
      <c r="A407" s="58" t="s">
        <v>592</v>
      </c>
      <c r="B407" s="123">
        <v>624608</v>
      </c>
      <c r="C407" s="118"/>
      <c r="G407" s="88">
        <f t="shared" si="6"/>
        <v>0</v>
      </c>
    </row>
    <row r="408" spans="1:7">
      <c r="A408" s="57" t="s">
        <v>593</v>
      </c>
      <c r="B408" s="124">
        <v>624587</v>
      </c>
      <c r="C408" s="118"/>
      <c r="G408" s="88">
        <f t="shared" si="6"/>
        <v>0</v>
      </c>
    </row>
    <row r="409" spans="1:7">
      <c r="A409" s="58" t="s">
        <v>594</v>
      </c>
      <c r="B409" s="123">
        <v>624604</v>
      </c>
      <c r="C409" s="118"/>
      <c r="G409" s="88">
        <f t="shared" si="6"/>
        <v>0</v>
      </c>
    </row>
    <row r="410" spans="1:7">
      <c r="A410" s="57" t="s">
        <v>595</v>
      </c>
      <c r="B410" s="124">
        <v>624603</v>
      </c>
      <c r="C410" s="118"/>
      <c r="G410" s="88">
        <f t="shared" si="6"/>
        <v>0</v>
      </c>
    </row>
    <row r="411" spans="1:7">
      <c r="A411" s="58" t="s">
        <v>596</v>
      </c>
      <c r="B411" s="123">
        <v>624630</v>
      </c>
      <c r="C411" s="118"/>
      <c r="G411" s="88">
        <f t="shared" si="6"/>
        <v>0</v>
      </c>
    </row>
    <row r="412" spans="1:7">
      <c r="A412" s="57" t="s">
        <v>597</v>
      </c>
      <c r="B412" s="124">
        <v>620003</v>
      </c>
      <c r="C412" s="118"/>
      <c r="G412" s="88">
        <f t="shared" si="6"/>
        <v>0</v>
      </c>
    </row>
    <row r="413" spans="1:7">
      <c r="A413" s="58" t="s">
        <v>598</v>
      </c>
      <c r="B413" s="123">
        <v>620015</v>
      </c>
      <c r="C413" s="118"/>
      <c r="G413" s="88">
        <f t="shared" si="6"/>
        <v>0</v>
      </c>
    </row>
    <row r="414" spans="1:7">
      <c r="A414" s="57" t="s">
        <v>599</v>
      </c>
      <c r="B414" s="124">
        <v>620016</v>
      </c>
      <c r="C414" s="118"/>
      <c r="G414" s="88">
        <f t="shared" si="6"/>
        <v>0</v>
      </c>
    </row>
    <row r="415" spans="1:7">
      <c r="A415" s="58" t="s">
        <v>600</v>
      </c>
      <c r="B415" s="123">
        <v>624605</v>
      </c>
      <c r="C415" s="118"/>
      <c r="G415" s="88">
        <f t="shared" si="6"/>
        <v>0</v>
      </c>
    </row>
    <row r="416" spans="1:7">
      <c r="A416" s="57" t="s">
        <v>601</v>
      </c>
      <c r="B416" s="124">
        <v>624599</v>
      </c>
      <c r="C416" s="118"/>
      <c r="G416" s="88">
        <f t="shared" si="6"/>
        <v>0</v>
      </c>
    </row>
    <row r="417" spans="1:7">
      <c r="A417" s="58" t="s">
        <v>602</v>
      </c>
      <c r="B417" s="123">
        <v>624595</v>
      </c>
      <c r="C417" s="118"/>
      <c r="G417" s="88">
        <f t="shared" si="6"/>
        <v>0</v>
      </c>
    </row>
    <row r="418" spans="1:7">
      <c r="A418" s="57" t="s">
        <v>603</v>
      </c>
      <c r="B418" s="124">
        <v>624600</v>
      </c>
      <c r="C418" s="118"/>
      <c r="G418" s="88">
        <f t="shared" si="6"/>
        <v>0</v>
      </c>
    </row>
    <row r="419" spans="1:7">
      <c r="A419" s="58" t="s">
        <v>604</v>
      </c>
      <c r="B419" s="123">
        <v>624609</v>
      </c>
      <c r="C419" s="118"/>
      <c r="G419" s="88">
        <f t="shared" si="6"/>
        <v>0</v>
      </c>
    </row>
    <row r="420" spans="1:7">
      <c r="A420" s="57" t="s">
        <v>605</v>
      </c>
      <c r="B420" s="124">
        <v>624601</v>
      </c>
      <c r="C420" s="118"/>
      <c r="G420" s="88">
        <f t="shared" si="6"/>
        <v>0</v>
      </c>
    </row>
    <row r="421" spans="1:7">
      <c r="A421" s="58" t="s">
        <v>606</v>
      </c>
      <c r="B421" s="123">
        <v>620005</v>
      </c>
      <c r="C421" s="118"/>
      <c r="G421" s="88">
        <f t="shared" si="6"/>
        <v>0</v>
      </c>
    </row>
    <row r="422" spans="1:7">
      <c r="A422" s="57" t="s">
        <v>607</v>
      </c>
      <c r="B422" s="124">
        <v>624611</v>
      </c>
      <c r="C422" s="118"/>
      <c r="G422" s="88">
        <f t="shared" si="6"/>
        <v>0</v>
      </c>
    </row>
    <row r="423" spans="1:7">
      <c r="A423" s="58" t="s">
        <v>608</v>
      </c>
      <c r="B423" s="123">
        <v>624610</v>
      </c>
      <c r="C423" s="118"/>
      <c r="G423" s="88">
        <f t="shared" si="6"/>
        <v>0</v>
      </c>
    </row>
    <row r="424" spans="1:7">
      <c r="A424" s="57" t="s">
        <v>609</v>
      </c>
      <c r="B424" s="124">
        <v>624612</v>
      </c>
      <c r="C424" s="118"/>
      <c r="G424" s="88">
        <f t="shared" si="6"/>
        <v>0</v>
      </c>
    </row>
    <row r="425" spans="1:7">
      <c r="A425" s="58" t="s">
        <v>610</v>
      </c>
      <c r="B425" s="123">
        <v>624596</v>
      </c>
      <c r="C425" s="118"/>
      <c r="G425" s="88">
        <f t="shared" si="6"/>
        <v>0</v>
      </c>
    </row>
    <row r="426" spans="1:7">
      <c r="A426" s="57" t="s">
        <v>611</v>
      </c>
      <c r="B426" s="124">
        <v>624588</v>
      </c>
      <c r="C426" s="118"/>
      <c r="G426" s="88">
        <f t="shared" si="6"/>
        <v>0</v>
      </c>
    </row>
    <row r="427" spans="1:7">
      <c r="A427" s="58" t="s">
        <v>612</v>
      </c>
      <c r="B427" s="123">
        <v>620019</v>
      </c>
      <c r="C427" s="118"/>
      <c r="G427" s="88">
        <f t="shared" si="6"/>
        <v>0</v>
      </c>
    </row>
    <row r="428" spans="1:7">
      <c r="A428" s="57" t="s">
        <v>613</v>
      </c>
      <c r="B428" s="124">
        <v>624589</v>
      </c>
      <c r="C428" s="118"/>
      <c r="G428" s="88">
        <f t="shared" si="6"/>
        <v>0</v>
      </c>
    </row>
    <row r="429" spans="1:7">
      <c r="A429" s="58" t="s">
        <v>614</v>
      </c>
      <c r="B429" s="123">
        <v>624590</v>
      </c>
      <c r="C429" s="118"/>
      <c r="G429" s="88">
        <f t="shared" si="6"/>
        <v>0</v>
      </c>
    </row>
    <row r="430" spans="1:7">
      <c r="A430" s="57" t="s">
        <v>615</v>
      </c>
      <c r="B430" s="124">
        <v>620043</v>
      </c>
      <c r="C430" s="118"/>
      <c r="G430" s="88">
        <f t="shared" si="6"/>
        <v>0</v>
      </c>
    </row>
    <row r="431" spans="1:7">
      <c r="A431" s="58" t="s">
        <v>616</v>
      </c>
      <c r="B431" s="123">
        <v>624614</v>
      </c>
      <c r="C431" s="118"/>
      <c r="G431" s="88">
        <f t="shared" si="6"/>
        <v>0</v>
      </c>
    </row>
    <row r="432" spans="1:7">
      <c r="A432" s="57" t="s">
        <v>617</v>
      </c>
      <c r="B432" s="124">
        <v>620060</v>
      </c>
      <c r="C432" s="118"/>
      <c r="G432" s="88">
        <f t="shared" si="6"/>
        <v>0</v>
      </c>
    </row>
    <row r="433" spans="1:7">
      <c r="A433" s="58" t="s">
        <v>618</v>
      </c>
      <c r="B433" s="123">
        <v>620062</v>
      </c>
      <c r="C433" s="118"/>
      <c r="G433" s="88">
        <f t="shared" si="6"/>
        <v>0</v>
      </c>
    </row>
    <row r="434" spans="1:7">
      <c r="A434" s="57" t="s">
        <v>619</v>
      </c>
      <c r="B434" s="124">
        <v>624578</v>
      </c>
      <c r="C434" s="118"/>
      <c r="G434" s="88">
        <f t="shared" si="6"/>
        <v>0</v>
      </c>
    </row>
    <row r="435" spans="1:7">
      <c r="A435" s="58" t="s">
        <v>620</v>
      </c>
      <c r="B435" s="123">
        <v>624594</v>
      </c>
      <c r="C435" s="118"/>
      <c r="G435" s="88">
        <f t="shared" si="6"/>
        <v>0</v>
      </c>
    </row>
    <row r="436" spans="1:7">
      <c r="A436" s="57" t="s">
        <v>621</v>
      </c>
      <c r="B436" s="124">
        <v>620870</v>
      </c>
      <c r="C436" s="118"/>
      <c r="G436" s="88">
        <f t="shared" si="6"/>
        <v>0</v>
      </c>
    </row>
    <row r="437" spans="1:7">
      <c r="A437" s="58" t="s">
        <v>622</v>
      </c>
      <c r="B437" s="123">
        <v>620125</v>
      </c>
      <c r="C437" s="118"/>
      <c r="G437" s="88">
        <f t="shared" si="6"/>
        <v>0</v>
      </c>
    </row>
    <row r="438" spans="1:7">
      <c r="A438" s="57" t="s">
        <v>623</v>
      </c>
      <c r="B438" s="124">
        <v>620128</v>
      </c>
      <c r="C438" s="118"/>
      <c r="G438" s="88">
        <f t="shared" si="6"/>
        <v>0</v>
      </c>
    </row>
    <row r="439" spans="1:7">
      <c r="A439" s="58" t="s">
        <v>624</v>
      </c>
      <c r="B439" s="123">
        <v>620875</v>
      </c>
      <c r="C439" s="118"/>
      <c r="G439" s="88">
        <f t="shared" si="6"/>
        <v>0</v>
      </c>
    </row>
    <row r="440" spans="1:7">
      <c r="A440" s="57" t="s">
        <v>625</v>
      </c>
      <c r="B440" s="124">
        <v>624688</v>
      </c>
      <c r="C440" s="118"/>
      <c r="G440" s="88">
        <f t="shared" si="6"/>
        <v>0</v>
      </c>
    </row>
    <row r="441" spans="1:7">
      <c r="A441" s="58" t="s">
        <v>626</v>
      </c>
      <c r="B441" s="123">
        <v>624593</v>
      </c>
      <c r="C441" s="118"/>
      <c r="G441" s="88">
        <f t="shared" si="6"/>
        <v>0</v>
      </c>
    </row>
    <row r="442" spans="1:7">
      <c r="A442" s="57" t="s">
        <v>627</v>
      </c>
      <c r="B442" s="124">
        <v>624586</v>
      </c>
      <c r="C442" s="118"/>
      <c r="G442" s="88">
        <f t="shared" si="6"/>
        <v>0</v>
      </c>
    </row>
    <row r="443" spans="1:7">
      <c r="A443" s="58" t="s">
        <v>628</v>
      </c>
      <c r="B443" s="123">
        <v>620186</v>
      </c>
      <c r="C443" s="118"/>
      <c r="G443" s="88">
        <f t="shared" si="6"/>
        <v>0</v>
      </c>
    </row>
    <row r="444" spans="1:7">
      <c r="A444" s="57" t="s">
        <v>629</v>
      </c>
      <c r="B444" s="124">
        <v>624616</v>
      </c>
      <c r="C444" s="118"/>
      <c r="G444" s="88">
        <f t="shared" si="6"/>
        <v>0</v>
      </c>
    </row>
    <row r="445" spans="1:7">
      <c r="A445" s="58" t="s">
        <v>630</v>
      </c>
      <c r="B445" s="123">
        <v>620228</v>
      </c>
      <c r="C445" s="118"/>
      <c r="G445" s="88">
        <f t="shared" si="6"/>
        <v>0</v>
      </c>
    </row>
    <row r="446" spans="1:7">
      <c r="A446" s="57" t="s">
        <v>631</v>
      </c>
      <c r="B446" s="124">
        <v>621050</v>
      </c>
      <c r="C446" s="118"/>
      <c r="G446" s="88">
        <f t="shared" si="6"/>
        <v>0</v>
      </c>
    </row>
    <row r="447" spans="1:7">
      <c r="A447" s="58" t="s">
        <v>632</v>
      </c>
      <c r="B447" s="123">
        <v>621052</v>
      </c>
      <c r="C447" s="118"/>
      <c r="G447" s="88">
        <f t="shared" si="6"/>
        <v>0</v>
      </c>
    </row>
    <row r="448" spans="1:7">
      <c r="A448" s="57" t="s">
        <v>633</v>
      </c>
      <c r="B448" s="124">
        <v>620232</v>
      </c>
      <c r="C448" s="118"/>
      <c r="G448" s="88">
        <f t="shared" si="6"/>
        <v>0</v>
      </c>
    </row>
    <row r="449" spans="1:7">
      <c r="A449" s="58" t="s">
        <v>634</v>
      </c>
      <c r="B449" s="123">
        <v>621054</v>
      </c>
      <c r="C449" s="118"/>
      <c r="G449" s="88">
        <f t="shared" si="6"/>
        <v>0</v>
      </c>
    </row>
    <row r="450" spans="1:7">
      <c r="A450" s="57" t="s">
        <v>635</v>
      </c>
      <c r="B450" s="124">
        <v>620233</v>
      </c>
      <c r="C450" s="118"/>
      <c r="G450" s="88">
        <f t="shared" si="6"/>
        <v>0</v>
      </c>
    </row>
    <row r="451" spans="1:7">
      <c r="A451" s="58" t="s">
        <v>636</v>
      </c>
      <c r="B451" s="123">
        <v>621055</v>
      </c>
      <c r="C451" s="118"/>
      <c r="G451" s="88">
        <f t="shared" ref="G451:G514" si="7">C451-H451</f>
        <v>0</v>
      </c>
    </row>
    <row r="452" spans="1:7">
      <c r="A452" s="57" t="s">
        <v>637</v>
      </c>
      <c r="B452" s="124">
        <v>621057</v>
      </c>
      <c r="C452" s="118"/>
      <c r="G452" s="88">
        <f t="shared" si="7"/>
        <v>0</v>
      </c>
    </row>
    <row r="453" spans="1:7">
      <c r="A453" s="58" t="s">
        <v>638</v>
      </c>
      <c r="B453" s="123">
        <v>621058</v>
      </c>
      <c r="C453" s="118"/>
      <c r="G453" s="88">
        <f t="shared" si="7"/>
        <v>0</v>
      </c>
    </row>
    <row r="454" spans="1:7">
      <c r="A454" s="57" t="s">
        <v>639</v>
      </c>
      <c r="B454" s="124">
        <v>620238</v>
      </c>
      <c r="C454" s="118"/>
      <c r="G454" s="88">
        <f t="shared" si="7"/>
        <v>0</v>
      </c>
    </row>
    <row r="455" spans="1:7">
      <c r="A455" s="58" t="s">
        <v>640</v>
      </c>
      <c r="B455" s="123">
        <v>620469</v>
      </c>
      <c r="C455" s="118"/>
      <c r="G455" s="88">
        <f t="shared" si="7"/>
        <v>0</v>
      </c>
    </row>
    <row r="456" spans="1:7">
      <c r="A456" s="57" t="s">
        <v>641</v>
      </c>
      <c r="B456" s="124">
        <v>621060</v>
      </c>
      <c r="C456" s="118"/>
      <c r="G456" s="88">
        <f t="shared" si="7"/>
        <v>0</v>
      </c>
    </row>
    <row r="457" spans="1:7">
      <c r="A457" s="58" t="s">
        <v>642</v>
      </c>
      <c r="B457" s="123">
        <v>623652</v>
      </c>
      <c r="C457" s="118"/>
      <c r="G457" s="88">
        <f t="shared" si="7"/>
        <v>0</v>
      </c>
    </row>
    <row r="458" spans="1:7">
      <c r="A458" s="57" t="s">
        <v>643</v>
      </c>
      <c r="B458" s="124">
        <v>620239</v>
      </c>
      <c r="C458" s="118"/>
      <c r="G458" s="88">
        <f t="shared" si="7"/>
        <v>0</v>
      </c>
    </row>
    <row r="459" spans="1:7">
      <c r="A459" s="58" t="s">
        <v>644</v>
      </c>
      <c r="B459" s="123">
        <v>621062</v>
      </c>
      <c r="C459" s="118"/>
      <c r="G459" s="88">
        <f t="shared" si="7"/>
        <v>0</v>
      </c>
    </row>
    <row r="460" spans="1:7">
      <c r="A460" s="57" t="s">
        <v>645</v>
      </c>
      <c r="B460" s="124">
        <v>621070</v>
      </c>
      <c r="C460" s="118"/>
      <c r="G460" s="88">
        <f t="shared" si="7"/>
        <v>0</v>
      </c>
    </row>
    <row r="461" spans="1:7">
      <c r="A461" s="58" t="s">
        <v>646</v>
      </c>
      <c r="B461" s="123">
        <v>621072</v>
      </c>
      <c r="C461" s="118"/>
      <c r="G461" s="88">
        <f t="shared" si="7"/>
        <v>0</v>
      </c>
    </row>
    <row r="462" spans="1:7">
      <c r="A462" s="57" t="s">
        <v>647</v>
      </c>
      <c r="B462" s="124">
        <v>621166</v>
      </c>
      <c r="C462" s="118"/>
      <c r="G462" s="88">
        <f t="shared" si="7"/>
        <v>0</v>
      </c>
    </row>
    <row r="463" spans="1:7">
      <c r="A463" s="58" t="s">
        <v>648</v>
      </c>
      <c r="B463" s="123">
        <v>624592</v>
      </c>
      <c r="C463" s="118"/>
      <c r="G463" s="88">
        <f t="shared" si="7"/>
        <v>0</v>
      </c>
    </row>
    <row r="464" spans="1:7">
      <c r="A464" s="57" t="s">
        <v>649</v>
      </c>
      <c r="B464" s="124">
        <v>624591</v>
      </c>
      <c r="C464" s="118"/>
      <c r="G464" s="88">
        <f t="shared" si="7"/>
        <v>0</v>
      </c>
    </row>
    <row r="465" spans="1:7">
      <c r="A465" s="58" t="s">
        <v>650</v>
      </c>
      <c r="B465" s="123">
        <v>621230</v>
      </c>
      <c r="C465" s="118"/>
      <c r="G465" s="88">
        <f t="shared" si="7"/>
        <v>0</v>
      </c>
    </row>
    <row r="466" spans="1:7">
      <c r="A466" s="57" t="s">
        <v>651</v>
      </c>
      <c r="B466" s="124">
        <v>621235</v>
      </c>
      <c r="C466" s="118"/>
      <c r="G466" s="88">
        <f t="shared" si="7"/>
        <v>0</v>
      </c>
    </row>
    <row r="467" spans="1:7">
      <c r="A467" s="58" t="s">
        <v>652</v>
      </c>
      <c r="B467" s="123">
        <v>621238</v>
      </c>
      <c r="C467" s="118"/>
      <c r="G467" s="88">
        <f t="shared" si="7"/>
        <v>0</v>
      </c>
    </row>
    <row r="468" spans="1:7">
      <c r="A468" s="57" t="s">
        <v>653</v>
      </c>
      <c r="B468" s="124">
        <v>621240</v>
      </c>
      <c r="C468" s="118"/>
      <c r="G468" s="88">
        <f t="shared" si="7"/>
        <v>0</v>
      </c>
    </row>
    <row r="469" spans="1:7">
      <c r="A469" s="58" t="s">
        <v>654</v>
      </c>
      <c r="B469" s="123">
        <v>623832</v>
      </c>
      <c r="C469" s="118"/>
      <c r="G469" s="88">
        <f t="shared" si="7"/>
        <v>0</v>
      </c>
    </row>
    <row r="470" spans="1:7">
      <c r="A470" s="57" t="s">
        <v>655</v>
      </c>
      <c r="B470" s="124">
        <v>624628</v>
      </c>
      <c r="C470" s="118"/>
      <c r="G470" s="88">
        <f t="shared" si="7"/>
        <v>0</v>
      </c>
    </row>
    <row r="471" spans="1:7">
      <c r="A471" s="58" t="s">
        <v>656</v>
      </c>
      <c r="B471" s="123">
        <v>622652</v>
      </c>
      <c r="C471" s="118"/>
      <c r="G471" s="88">
        <f t="shared" si="7"/>
        <v>0</v>
      </c>
    </row>
    <row r="472" spans="1:7">
      <c r="A472" s="57" t="s">
        <v>657</v>
      </c>
      <c r="B472" s="124">
        <v>621410</v>
      </c>
      <c r="C472" s="118"/>
      <c r="G472" s="88">
        <f t="shared" si="7"/>
        <v>0</v>
      </c>
    </row>
    <row r="473" spans="1:7">
      <c r="A473" s="58" t="s">
        <v>658</v>
      </c>
      <c r="B473" s="123">
        <v>621411</v>
      </c>
      <c r="C473" s="118"/>
      <c r="G473" s="88">
        <f t="shared" si="7"/>
        <v>0</v>
      </c>
    </row>
    <row r="474" spans="1:7">
      <c r="A474" s="57" t="s">
        <v>659</v>
      </c>
      <c r="B474" s="124">
        <v>624598</v>
      </c>
      <c r="C474" s="118"/>
      <c r="G474" s="88">
        <f t="shared" si="7"/>
        <v>0</v>
      </c>
    </row>
    <row r="475" spans="1:7">
      <c r="A475" s="58" t="s">
        <v>660</v>
      </c>
      <c r="B475" s="123">
        <v>624613</v>
      </c>
      <c r="C475" s="118"/>
      <c r="G475" s="88">
        <f t="shared" si="7"/>
        <v>0</v>
      </c>
    </row>
    <row r="476" spans="1:7">
      <c r="A476" s="57" t="s">
        <v>661</v>
      </c>
      <c r="B476" s="124">
        <v>621417</v>
      </c>
      <c r="C476" s="118"/>
      <c r="G476" s="88">
        <f t="shared" si="7"/>
        <v>0</v>
      </c>
    </row>
    <row r="477" spans="1:7">
      <c r="A477" s="58" t="s">
        <v>662</v>
      </c>
      <c r="B477" s="123">
        <v>621420</v>
      </c>
      <c r="C477" s="118"/>
      <c r="G477" s="88">
        <f t="shared" si="7"/>
        <v>0</v>
      </c>
    </row>
    <row r="478" spans="1:7">
      <c r="A478" s="57" t="s">
        <v>663</v>
      </c>
      <c r="B478" s="124">
        <v>624012</v>
      </c>
      <c r="C478" s="118"/>
      <c r="G478" s="88">
        <f t="shared" si="7"/>
        <v>0</v>
      </c>
    </row>
    <row r="479" spans="1:7">
      <c r="A479" s="58" t="s">
        <v>664</v>
      </c>
      <c r="B479" s="123">
        <v>621421</v>
      </c>
      <c r="C479" s="118"/>
      <c r="G479" s="88">
        <f t="shared" si="7"/>
        <v>0</v>
      </c>
    </row>
    <row r="480" spans="1:7">
      <c r="A480" s="57" t="s">
        <v>665</v>
      </c>
      <c r="B480" s="124">
        <v>624615</v>
      </c>
      <c r="C480" s="118"/>
      <c r="G480" s="88">
        <f t="shared" si="7"/>
        <v>0</v>
      </c>
    </row>
    <row r="481" spans="1:7">
      <c r="A481" s="58" t="s">
        <v>666</v>
      </c>
      <c r="B481" s="123">
        <v>621422</v>
      </c>
      <c r="C481" s="118"/>
      <c r="G481" s="88">
        <f t="shared" si="7"/>
        <v>0</v>
      </c>
    </row>
    <row r="482" spans="1:7">
      <c r="A482" s="57" t="s">
        <v>667</v>
      </c>
      <c r="B482" s="124">
        <v>621425</v>
      </c>
      <c r="C482" s="118"/>
      <c r="G482" s="88">
        <f t="shared" si="7"/>
        <v>0</v>
      </c>
    </row>
    <row r="483" spans="1:7">
      <c r="A483" s="58" t="s">
        <v>668</v>
      </c>
      <c r="B483" s="123">
        <v>624618</v>
      </c>
      <c r="C483" s="118"/>
      <c r="G483" s="88">
        <f t="shared" si="7"/>
        <v>0</v>
      </c>
    </row>
    <row r="484" spans="1:7">
      <c r="A484" s="57" t="s">
        <v>669</v>
      </c>
      <c r="B484" s="124">
        <v>621482</v>
      </c>
      <c r="C484" s="118"/>
      <c r="G484" s="88">
        <f t="shared" si="7"/>
        <v>0</v>
      </c>
    </row>
    <row r="485" spans="1:7">
      <c r="A485" s="58" t="s">
        <v>670</v>
      </c>
      <c r="B485" s="123">
        <v>624081</v>
      </c>
      <c r="C485" s="118"/>
      <c r="G485" s="88">
        <f t="shared" si="7"/>
        <v>0</v>
      </c>
    </row>
    <row r="486" spans="1:7">
      <c r="A486" s="57" t="s">
        <v>671</v>
      </c>
      <c r="B486" s="124">
        <v>624084</v>
      </c>
      <c r="C486" s="118"/>
      <c r="G486" s="88">
        <f t="shared" si="7"/>
        <v>0</v>
      </c>
    </row>
    <row r="487" spans="1:7">
      <c r="A487" s="58" t="s">
        <v>672</v>
      </c>
      <c r="B487" s="123">
        <v>621504</v>
      </c>
      <c r="C487" s="118"/>
      <c r="G487" s="88">
        <f t="shared" si="7"/>
        <v>0</v>
      </c>
    </row>
    <row r="488" spans="1:7">
      <c r="A488" s="57" t="s">
        <v>673</v>
      </c>
      <c r="B488" s="124">
        <v>621595</v>
      </c>
      <c r="C488" s="118"/>
      <c r="G488" s="88">
        <f t="shared" si="7"/>
        <v>0</v>
      </c>
    </row>
    <row r="489" spans="1:7">
      <c r="A489" s="58" t="s">
        <v>674</v>
      </c>
      <c r="B489" s="123">
        <v>624192</v>
      </c>
      <c r="C489" s="118"/>
      <c r="G489" s="88">
        <f t="shared" si="7"/>
        <v>0</v>
      </c>
    </row>
    <row r="490" spans="1:7">
      <c r="A490" s="57" t="s">
        <v>675</v>
      </c>
      <c r="B490" s="124">
        <v>624197</v>
      </c>
      <c r="C490" s="118"/>
      <c r="G490" s="88">
        <f t="shared" si="7"/>
        <v>0</v>
      </c>
    </row>
    <row r="491" spans="1:7">
      <c r="A491" s="58" t="s">
        <v>676</v>
      </c>
      <c r="B491" s="123">
        <v>624617</v>
      </c>
      <c r="C491" s="118"/>
      <c r="G491" s="88">
        <f t="shared" si="7"/>
        <v>0</v>
      </c>
    </row>
    <row r="492" spans="1:7">
      <c r="A492" s="57" t="s">
        <v>677</v>
      </c>
      <c r="B492" s="124">
        <v>624367</v>
      </c>
      <c r="C492" s="118"/>
      <c r="G492" s="88">
        <f t="shared" si="7"/>
        <v>0</v>
      </c>
    </row>
    <row r="493" spans="1:7">
      <c r="A493" s="58" t="s">
        <v>678</v>
      </c>
      <c r="B493" s="123">
        <v>621776</v>
      </c>
      <c r="C493" s="118"/>
      <c r="G493" s="88">
        <f t="shared" si="7"/>
        <v>0</v>
      </c>
    </row>
    <row r="494" spans="1:7">
      <c r="A494" s="57" t="s">
        <v>679</v>
      </c>
      <c r="B494" s="124">
        <v>621780</v>
      </c>
      <c r="C494" s="118"/>
      <c r="G494" s="88">
        <f t="shared" si="7"/>
        <v>0</v>
      </c>
    </row>
    <row r="495" spans="1:7">
      <c r="A495" s="58" t="s">
        <v>680</v>
      </c>
      <c r="B495" s="123">
        <v>624372</v>
      </c>
      <c r="C495" s="118"/>
      <c r="G495" s="88">
        <f t="shared" si="7"/>
        <v>0</v>
      </c>
    </row>
    <row r="496" spans="1:7">
      <c r="A496" s="57" t="s">
        <v>681</v>
      </c>
      <c r="B496" s="124">
        <v>624377</v>
      </c>
      <c r="C496" s="118"/>
      <c r="G496" s="88">
        <f t="shared" si="7"/>
        <v>0</v>
      </c>
    </row>
    <row r="497" spans="1:7">
      <c r="A497" s="58" t="s">
        <v>682</v>
      </c>
      <c r="B497" s="123">
        <v>624629</v>
      </c>
      <c r="C497" s="118"/>
      <c r="G497" s="88">
        <f t="shared" si="7"/>
        <v>0</v>
      </c>
    </row>
    <row r="498" spans="1:7">
      <c r="A498" s="57" t="s">
        <v>683</v>
      </c>
      <c r="B498" s="124">
        <v>621960</v>
      </c>
      <c r="C498" s="118"/>
      <c r="G498" s="88">
        <f t="shared" si="7"/>
        <v>0</v>
      </c>
    </row>
    <row r="499" spans="1:7">
      <c r="A499" s="58" t="s">
        <v>684</v>
      </c>
      <c r="B499" s="123">
        <v>624552</v>
      </c>
      <c r="C499" s="118"/>
      <c r="G499" s="88">
        <f t="shared" si="7"/>
        <v>0</v>
      </c>
    </row>
    <row r="500" spans="1:7">
      <c r="A500" s="57" t="s">
        <v>685</v>
      </c>
      <c r="B500" s="124">
        <v>621965</v>
      </c>
      <c r="C500" s="118"/>
      <c r="G500" s="88">
        <f t="shared" si="7"/>
        <v>0</v>
      </c>
    </row>
    <row r="501" spans="1:7">
      <c r="A501" s="58" t="s">
        <v>686</v>
      </c>
      <c r="B501" s="123">
        <v>624633</v>
      </c>
      <c r="C501" s="118"/>
      <c r="G501" s="88">
        <f t="shared" si="7"/>
        <v>0</v>
      </c>
    </row>
    <row r="502" spans="1:7">
      <c r="A502" s="57" t="s">
        <v>687</v>
      </c>
      <c r="B502" s="124">
        <v>624627</v>
      </c>
      <c r="C502" s="118"/>
      <c r="G502" s="88">
        <f t="shared" si="7"/>
        <v>0</v>
      </c>
    </row>
    <row r="503" spans="1:7">
      <c r="A503" s="58" t="s">
        <v>688</v>
      </c>
      <c r="B503" s="123">
        <v>624580</v>
      </c>
      <c r="C503" s="118"/>
      <c r="G503" s="88">
        <f t="shared" si="7"/>
        <v>0</v>
      </c>
    </row>
    <row r="504" spans="1:7">
      <c r="A504" s="57" t="s">
        <v>689</v>
      </c>
      <c r="B504" s="124">
        <v>624626</v>
      </c>
      <c r="C504" s="118"/>
      <c r="G504" s="88">
        <f t="shared" si="7"/>
        <v>0</v>
      </c>
    </row>
    <row r="505" spans="1:7">
      <c r="A505" s="58" t="s">
        <v>690</v>
      </c>
      <c r="B505" s="123">
        <v>624619</v>
      </c>
      <c r="C505" s="118"/>
      <c r="G505" s="88">
        <f t="shared" si="7"/>
        <v>0</v>
      </c>
    </row>
    <row r="506" spans="1:7">
      <c r="A506" s="57" t="s">
        <v>691</v>
      </c>
      <c r="B506" s="124">
        <v>620018</v>
      </c>
      <c r="C506" s="118"/>
      <c r="G506" s="88">
        <f t="shared" si="7"/>
        <v>0</v>
      </c>
    </row>
    <row r="507" spans="1:7">
      <c r="A507" s="58" t="s">
        <v>691</v>
      </c>
      <c r="B507" s="123">
        <v>620018</v>
      </c>
      <c r="C507" s="118"/>
      <c r="G507" s="88">
        <f t="shared" si="7"/>
        <v>0</v>
      </c>
    </row>
    <row r="508" spans="1:7">
      <c r="A508" s="57" t="s">
        <v>692</v>
      </c>
      <c r="B508" s="124">
        <v>620020</v>
      </c>
      <c r="C508" s="118"/>
      <c r="G508" s="88">
        <f t="shared" si="7"/>
        <v>0</v>
      </c>
    </row>
    <row r="509" spans="1:7">
      <c r="A509" s="58" t="s">
        <v>692</v>
      </c>
      <c r="B509" s="123">
        <v>620020</v>
      </c>
      <c r="C509" s="118"/>
      <c r="G509" s="88">
        <f t="shared" si="7"/>
        <v>0</v>
      </c>
    </row>
    <row r="510" spans="1:7">
      <c r="A510" s="57" t="s">
        <v>693</v>
      </c>
      <c r="B510" s="124">
        <v>620021</v>
      </c>
      <c r="C510" s="118"/>
      <c r="G510" s="88">
        <f t="shared" si="7"/>
        <v>0</v>
      </c>
    </row>
    <row r="511" spans="1:7">
      <c r="A511" s="58" t="s">
        <v>693</v>
      </c>
      <c r="B511" s="123">
        <v>620021</v>
      </c>
      <c r="C511" s="118"/>
      <c r="G511" s="88">
        <f t="shared" si="7"/>
        <v>0</v>
      </c>
    </row>
    <row r="512" spans="1:7">
      <c r="A512" s="57" t="s">
        <v>694</v>
      </c>
      <c r="B512" s="124">
        <v>620022</v>
      </c>
      <c r="C512" s="118"/>
      <c r="G512" s="88">
        <f t="shared" si="7"/>
        <v>0</v>
      </c>
    </row>
    <row r="513" spans="1:7">
      <c r="A513" s="58" t="s">
        <v>694</v>
      </c>
      <c r="B513" s="123">
        <v>620022</v>
      </c>
      <c r="C513" s="118"/>
      <c r="G513" s="88">
        <f t="shared" si="7"/>
        <v>0</v>
      </c>
    </row>
    <row r="514" spans="1:7">
      <c r="A514" s="57" t="s">
        <v>695</v>
      </c>
      <c r="B514" s="124">
        <v>624689</v>
      </c>
      <c r="C514" s="118"/>
      <c r="G514" s="88">
        <f t="shared" si="7"/>
        <v>0</v>
      </c>
    </row>
    <row r="515" spans="1:7">
      <c r="A515" s="58" t="s">
        <v>696</v>
      </c>
      <c r="B515" s="123">
        <v>624644</v>
      </c>
      <c r="C515" s="118"/>
      <c r="G515" s="88">
        <f t="shared" ref="G515:G578" si="8">C515-H515</f>
        <v>0</v>
      </c>
    </row>
    <row r="516" spans="1:7">
      <c r="A516" s="57" t="s">
        <v>697</v>
      </c>
      <c r="B516" s="124">
        <v>624625</v>
      </c>
      <c r="C516" s="118"/>
      <c r="G516" s="88">
        <f t="shared" si="8"/>
        <v>0</v>
      </c>
    </row>
    <row r="517" spans="1:7">
      <c r="A517" s="58" t="s">
        <v>698</v>
      </c>
      <c r="B517" s="123">
        <v>624690</v>
      </c>
      <c r="C517" s="118"/>
      <c r="G517" s="88">
        <f t="shared" si="8"/>
        <v>0</v>
      </c>
    </row>
    <row r="518" spans="1:7">
      <c r="A518" s="57" t="s">
        <v>699</v>
      </c>
      <c r="B518" s="124">
        <v>624581</v>
      </c>
      <c r="C518" s="118"/>
      <c r="G518" s="88">
        <f t="shared" si="8"/>
        <v>0</v>
      </c>
    </row>
    <row r="519" spans="1:7">
      <c r="A519" s="58" t="s">
        <v>700</v>
      </c>
      <c r="B519" s="123">
        <v>624583</v>
      </c>
      <c r="C519" s="118"/>
      <c r="G519" s="88">
        <f t="shared" si="8"/>
        <v>0</v>
      </c>
    </row>
    <row r="520" spans="1:7">
      <c r="A520" s="57" t="s">
        <v>701</v>
      </c>
      <c r="B520" s="124">
        <v>624582</v>
      </c>
      <c r="C520" s="118"/>
      <c r="G520" s="88">
        <f t="shared" si="8"/>
        <v>0</v>
      </c>
    </row>
    <row r="521" spans="1:7">
      <c r="A521" s="58" t="s">
        <v>702</v>
      </c>
      <c r="B521" s="123">
        <v>624584</v>
      </c>
      <c r="C521" s="118"/>
      <c r="G521" s="88">
        <f t="shared" si="8"/>
        <v>0</v>
      </c>
    </row>
    <row r="522" spans="1:7">
      <c r="A522" s="57" t="s">
        <v>703</v>
      </c>
      <c r="B522" s="124">
        <v>624620</v>
      </c>
      <c r="C522" s="118"/>
      <c r="G522" s="88">
        <f t="shared" si="8"/>
        <v>0</v>
      </c>
    </row>
    <row r="523" spans="1:7">
      <c r="A523" s="58" t="s">
        <v>704</v>
      </c>
      <c r="B523" s="123">
        <v>624621</v>
      </c>
      <c r="C523" s="118"/>
      <c r="G523" s="88">
        <f t="shared" si="8"/>
        <v>0</v>
      </c>
    </row>
    <row r="524" spans="1:7">
      <c r="A524" s="57" t="s">
        <v>705</v>
      </c>
      <c r="B524" s="124">
        <v>624622</v>
      </c>
      <c r="C524" s="118"/>
      <c r="G524" s="88">
        <f t="shared" si="8"/>
        <v>0</v>
      </c>
    </row>
    <row r="525" spans="1:7">
      <c r="A525" s="58" t="s">
        <v>706</v>
      </c>
      <c r="B525" s="123">
        <v>624623</v>
      </c>
      <c r="C525" s="118"/>
      <c r="G525" s="88">
        <f t="shared" si="8"/>
        <v>0</v>
      </c>
    </row>
    <row r="526" spans="1:7">
      <c r="A526" s="57" t="s">
        <v>707</v>
      </c>
      <c r="B526" s="124">
        <v>624624</v>
      </c>
      <c r="C526" s="118"/>
      <c r="G526" s="88">
        <f t="shared" si="8"/>
        <v>0</v>
      </c>
    </row>
    <row r="527" spans="1:7">
      <c r="A527" s="58" t="s">
        <v>708</v>
      </c>
      <c r="B527" s="123">
        <v>624638</v>
      </c>
      <c r="C527" s="118"/>
      <c r="G527" s="88">
        <f t="shared" si="8"/>
        <v>0</v>
      </c>
    </row>
    <row r="528" spans="1:7">
      <c r="A528" s="57" t="s">
        <v>709</v>
      </c>
      <c r="B528" s="124">
        <v>624585</v>
      </c>
      <c r="C528" s="118"/>
      <c r="G528" s="88">
        <f t="shared" si="8"/>
        <v>0</v>
      </c>
    </row>
    <row r="529" spans="1:7">
      <c r="A529" s="58" t="s">
        <v>710</v>
      </c>
      <c r="B529" s="123">
        <v>624692</v>
      </c>
      <c r="C529" s="118"/>
      <c r="G529" s="88">
        <f t="shared" si="8"/>
        <v>0</v>
      </c>
    </row>
    <row r="530" spans="1:7">
      <c r="A530" s="57" t="s">
        <v>710</v>
      </c>
      <c r="B530" s="124">
        <v>624692</v>
      </c>
      <c r="C530" s="118"/>
      <c r="G530" s="88">
        <f t="shared" si="8"/>
        <v>0</v>
      </c>
    </row>
    <row r="531" spans="1:7">
      <c r="A531" s="58" t="s">
        <v>711</v>
      </c>
      <c r="B531" s="123">
        <v>624631</v>
      </c>
      <c r="C531" s="118"/>
      <c r="G531" s="88">
        <f t="shared" si="8"/>
        <v>0</v>
      </c>
    </row>
    <row r="532" spans="1:7">
      <c r="A532" s="57" t="s">
        <v>712</v>
      </c>
      <c r="B532" s="124">
        <v>624691</v>
      </c>
      <c r="C532" s="118"/>
      <c r="G532" s="88">
        <f t="shared" si="8"/>
        <v>0</v>
      </c>
    </row>
    <row r="533" spans="1:7">
      <c r="A533" s="58" t="s">
        <v>713</v>
      </c>
      <c r="B533" s="123">
        <v>624641</v>
      </c>
      <c r="C533" s="118"/>
      <c r="G533" s="88">
        <f t="shared" si="8"/>
        <v>0</v>
      </c>
    </row>
    <row r="534" spans="1:7">
      <c r="A534" s="57" t="s">
        <v>714</v>
      </c>
      <c r="B534" s="124">
        <v>624642</v>
      </c>
      <c r="C534" s="118"/>
      <c r="G534" s="88">
        <f t="shared" si="8"/>
        <v>0</v>
      </c>
    </row>
    <row r="535" spans="1:7">
      <c r="A535" s="58" t="s">
        <v>715</v>
      </c>
      <c r="B535" s="123">
        <v>432130</v>
      </c>
      <c r="C535" s="118"/>
      <c r="G535" s="88">
        <f t="shared" si="8"/>
        <v>0</v>
      </c>
    </row>
    <row r="536" spans="1:7">
      <c r="A536" s="57" t="s">
        <v>716</v>
      </c>
      <c r="B536" s="124">
        <v>438110</v>
      </c>
      <c r="C536" s="118"/>
      <c r="G536" s="88">
        <f t="shared" si="8"/>
        <v>0</v>
      </c>
    </row>
    <row r="537" spans="1:7">
      <c r="A537" s="58" t="s">
        <v>717</v>
      </c>
      <c r="B537" s="123">
        <v>438112</v>
      </c>
      <c r="C537" s="118"/>
      <c r="G537" s="88">
        <f t="shared" si="8"/>
        <v>0</v>
      </c>
    </row>
    <row r="538" spans="1:7">
      <c r="A538" s="57" t="s">
        <v>718</v>
      </c>
      <c r="B538" s="124">
        <v>438113</v>
      </c>
      <c r="C538" s="118"/>
      <c r="G538" s="88">
        <f t="shared" si="8"/>
        <v>0</v>
      </c>
    </row>
    <row r="539" spans="1:7">
      <c r="A539" s="58" t="s">
        <v>719</v>
      </c>
      <c r="B539" s="123">
        <v>438109</v>
      </c>
      <c r="C539" s="118"/>
      <c r="G539" s="88">
        <f t="shared" si="8"/>
        <v>0</v>
      </c>
    </row>
    <row r="540" spans="1:7">
      <c r="A540" s="57" t="s">
        <v>720</v>
      </c>
      <c r="B540" s="124">
        <v>438114</v>
      </c>
      <c r="C540" s="118"/>
      <c r="G540" s="88">
        <f t="shared" si="8"/>
        <v>0</v>
      </c>
    </row>
    <row r="541" spans="1:7">
      <c r="A541" s="58" t="s">
        <v>721</v>
      </c>
      <c r="B541" s="123">
        <v>431114</v>
      </c>
      <c r="C541" s="118"/>
      <c r="G541" s="88">
        <f t="shared" si="8"/>
        <v>0</v>
      </c>
    </row>
    <row r="542" spans="1:7">
      <c r="A542" s="57" t="s">
        <v>722</v>
      </c>
      <c r="B542" s="124">
        <v>438120</v>
      </c>
      <c r="C542" s="118"/>
      <c r="G542" s="88">
        <f t="shared" si="8"/>
        <v>0</v>
      </c>
    </row>
    <row r="543" spans="1:7">
      <c r="A543" s="58" t="s">
        <v>723</v>
      </c>
      <c r="B543" s="123">
        <v>432307</v>
      </c>
      <c r="C543" s="118"/>
      <c r="G543" s="88">
        <f t="shared" si="8"/>
        <v>0</v>
      </c>
    </row>
    <row r="544" spans="1:7">
      <c r="A544" s="57" t="s">
        <v>724</v>
      </c>
      <c r="B544" s="124">
        <v>433307</v>
      </c>
      <c r="C544" s="118"/>
      <c r="G544" s="88">
        <f t="shared" si="8"/>
        <v>0</v>
      </c>
    </row>
    <row r="545" spans="1:8">
      <c r="A545" s="58" t="s">
        <v>725</v>
      </c>
      <c r="B545" s="123">
        <v>431306</v>
      </c>
      <c r="C545" s="118"/>
      <c r="G545" s="88">
        <f t="shared" si="8"/>
        <v>0</v>
      </c>
    </row>
    <row r="546" spans="1:8">
      <c r="A546" s="57" t="s">
        <v>726</v>
      </c>
      <c r="B546" s="124">
        <v>434308</v>
      </c>
      <c r="C546" s="118"/>
      <c r="G546" s="88">
        <f t="shared" si="8"/>
        <v>0</v>
      </c>
    </row>
    <row r="547" spans="1:8">
      <c r="A547" s="58" t="s">
        <v>727</v>
      </c>
      <c r="B547" s="123">
        <v>431307</v>
      </c>
      <c r="C547" s="118"/>
      <c r="G547" s="88">
        <f t="shared" si="8"/>
        <v>0</v>
      </c>
    </row>
    <row r="548" spans="1:8">
      <c r="A548" s="57" t="s">
        <v>728</v>
      </c>
      <c r="B548" s="124">
        <v>432309</v>
      </c>
      <c r="C548" s="118"/>
      <c r="G548" s="88">
        <f t="shared" si="8"/>
        <v>0</v>
      </c>
    </row>
    <row r="549" spans="1:8">
      <c r="A549" s="58" t="s">
        <v>729</v>
      </c>
      <c r="B549" s="123">
        <v>434309</v>
      </c>
      <c r="C549" s="118"/>
      <c r="G549" s="88">
        <f t="shared" si="8"/>
        <v>0</v>
      </c>
    </row>
    <row r="550" spans="1:8">
      <c r="A550" s="57" t="s">
        <v>730</v>
      </c>
      <c r="B550" s="124">
        <v>434310</v>
      </c>
      <c r="C550" s="118"/>
      <c r="G550" s="88">
        <f t="shared" si="8"/>
        <v>0</v>
      </c>
    </row>
    <row r="551" spans="1:8">
      <c r="A551" s="58" t="s">
        <v>731</v>
      </c>
      <c r="B551" s="123">
        <v>432300</v>
      </c>
      <c r="C551" s="118"/>
      <c r="G551" s="88">
        <f t="shared" si="8"/>
        <v>0</v>
      </c>
    </row>
    <row r="552" spans="1:8">
      <c r="A552" s="57" t="s">
        <v>732</v>
      </c>
      <c r="B552" s="124">
        <v>432301</v>
      </c>
      <c r="C552" s="118"/>
      <c r="G552" s="88">
        <f t="shared" si="8"/>
        <v>0</v>
      </c>
    </row>
    <row r="553" spans="1:8">
      <c r="A553" s="58" t="s">
        <v>733</v>
      </c>
      <c r="B553" s="123">
        <v>431309</v>
      </c>
      <c r="C553" s="118"/>
      <c r="G553" s="88">
        <f t="shared" si="8"/>
        <v>0</v>
      </c>
    </row>
    <row r="554" spans="1:8">
      <c r="A554" s="57" t="s">
        <v>734</v>
      </c>
      <c r="B554" s="124">
        <v>433301</v>
      </c>
      <c r="C554" s="118"/>
      <c r="G554" s="88">
        <f t="shared" si="8"/>
        <v>-10</v>
      </c>
      <c r="H554" s="99">
        <v>10</v>
      </c>
    </row>
    <row r="555" spans="1:8">
      <c r="A555" s="58" t="s">
        <v>735</v>
      </c>
      <c r="B555" s="123">
        <v>434301</v>
      </c>
      <c r="C555" s="118"/>
      <c r="G555" s="88">
        <f t="shared" si="8"/>
        <v>0</v>
      </c>
    </row>
    <row r="556" spans="1:8">
      <c r="A556" s="57" t="s">
        <v>736</v>
      </c>
      <c r="B556" s="124">
        <v>432302</v>
      </c>
      <c r="C556" s="118"/>
      <c r="G556" s="88">
        <f t="shared" si="8"/>
        <v>0</v>
      </c>
    </row>
    <row r="557" spans="1:8">
      <c r="A557" s="58" t="s">
        <v>737</v>
      </c>
      <c r="B557" s="123">
        <v>432303</v>
      </c>
      <c r="C557" s="118"/>
      <c r="G557" s="88">
        <f t="shared" si="8"/>
        <v>0</v>
      </c>
    </row>
    <row r="558" spans="1:8">
      <c r="A558" s="57" t="s">
        <v>738</v>
      </c>
      <c r="B558" s="124">
        <v>434303</v>
      </c>
      <c r="C558" s="118"/>
      <c r="G558" s="88">
        <f t="shared" si="8"/>
        <v>0</v>
      </c>
    </row>
    <row r="559" spans="1:8">
      <c r="A559" s="58" t="s">
        <v>739</v>
      </c>
      <c r="B559" s="123">
        <v>431303</v>
      </c>
      <c r="C559" s="118"/>
      <c r="G559" s="88">
        <f t="shared" si="8"/>
        <v>0</v>
      </c>
    </row>
    <row r="560" spans="1:8">
      <c r="A560" s="57" t="s">
        <v>740</v>
      </c>
      <c r="B560" s="124">
        <v>432304</v>
      </c>
      <c r="C560" s="118"/>
      <c r="G560" s="88">
        <f t="shared" si="8"/>
        <v>0</v>
      </c>
    </row>
    <row r="561" spans="1:7">
      <c r="A561" s="58" t="s">
        <v>741</v>
      </c>
      <c r="B561" s="123">
        <v>433304</v>
      </c>
      <c r="C561" s="118"/>
      <c r="G561" s="88">
        <f t="shared" si="8"/>
        <v>0</v>
      </c>
    </row>
    <row r="562" spans="1:7">
      <c r="A562" s="57" t="s">
        <v>742</v>
      </c>
      <c r="B562" s="124">
        <v>432305</v>
      </c>
      <c r="C562" s="118"/>
      <c r="G562" s="88">
        <f t="shared" si="8"/>
        <v>0</v>
      </c>
    </row>
    <row r="563" spans="1:7">
      <c r="A563" s="58" t="s">
        <v>743</v>
      </c>
      <c r="B563" s="123">
        <v>433305</v>
      </c>
      <c r="C563" s="118"/>
      <c r="G563" s="88">
        <f t="shared" si="8"/>
        <v>0</v>
      </c>
    </row>
    <row r="564" spans="1:7">
      <c r="A564" s="57" t="s">
        <v>744</v>
      </c>
      <c r="B564" s="124">
        <v>434305</v>
      </c>
      <c r="C564" s="118"/>
      <c r="G564" s="88">
        <f t="shared" si="8"/>
        <v>0</v>
      </c>
    </row>
    <row r="565" spans="1:7">
      <c r="A565" s="58" t="s">
        <v>745</v>
      </c>
      <c r="B565" s="123">
        <v>432306</v>
      </c>
      <c r="C565" s="118"/>
      <c r="G565" s="88">
        <f t="shared" si="8"/>
        <v>0</v>
      </c>
    </row>
    <row r="566" spans="1:7">
      <c r="A566" s="57" t="s">
        <v>746</v>
      </c>
      <c r="B566" s="124">
        <v>433306</v>
      </c>
      <c r="C566" s="118"/>
      <c r="G566" s="88">
        <f t="shared" si="8"/>
        <v>0</v>
      </c>
    </row>
    <row r="567" spans="1:7">
      <c r="A567" s="58" t="s">
        <v>747</v>
      </c>
      <c r="B567" s="123">
        <v>434306</v>
      </c>
      <c r="C567" s="118"/>
      <c r="G567" s="88">
        <f t="shared" si="8"/>
        <v>0</v>
      </c>
    </row>
    <row r="568" spans="1:7">
      <c r="A568" s="57" t="s">
        <v>748</v>
      </c>
      <c r="B568" s="124">
        <v>542102</v>
      </c>
      <c r="C568" s="118"/>
      <c r="G568" s="88">
        <f t="shared" si="8"/>
        <v>0</v>
      </c>
    </row>
    <row r="569" spans="1:7">
      <c r="A569" s="58" t="s">
        <v>749</v>
      </c>
      <c r="B569" s="123">
        <v>512111</v>
      </c>
      <c r="C569" s="118"/>
      <c r="G569" s="88">
        <f t="shared" si="8"/>
        <v>0</v>
      </c>
    </row>
    <row r="570" spans="1:7">
      <c r="A570" s="57" t="s">
        <v>750</v>
      </c>
      <c r="B570" s="124">
        <v>512116</v>
      </c>
      <c r="C570" s="118"/>
      <c r="G570" s="88">
        <f t="shared" si="8"/>
        <v>0</v>
      </c>
    </row>
    <row r="571" spans="1:7">
      <c r="A571" s="58" t="s">
        <v>751</v>
      </c>
      <c r="B571" s="123">
        <v>513111</v>
      </c>
      <c r="C571" s="118"/>
      <c r="G571" s="88">
        <f t="shared" si="8"/>
        <v>0</v>
      </c>
    </row>
    <row r="572" spans="1:7">
      <c r="A572" s="57" t="s">
        <v>752</v>
      </c>
      <c r="B572" s="124">
        <v>542101</v>
      </c>
      <c r="C572" s="118"/>
      <c r="G572" s="88">
        <f t="shared" si="8"/>
        <v>0</v>
      </c>
    </row>
    <row r="573" spans="1:7">
      <c r="A573" s="58" t="s">
        <v>753</v>
      </c>
      <c r="B573" s="123">
        <v>542104</v>
      </c>
      <c r="C573" s="118"/>
      <c r="G573" s="88">
        <f t="shared" si="8"/>
        <v>0</v>
      </c>
    </row>
    <row r="574" spans="1:7">
      <c r="A574" s="57" t="s">
        <v>754</v>
      </c>
      <c r="B574" s="124">
        <v>512112</v>
      </c>
      <c r="C574" s="118"/>
      <c r="G574" s="88">
        <f t="shared" si="8"/>
        <v>0</v>
      </c>
    </row>
    <row r="575" spans="1:7">
      <c r="A575" s="58" t="s">
        <v>755</v>
      </c>
      <c r="B575" s="123">
        <v>513112</v>
      </c>
      <c r="C575" s="118"/>
      <c r="G575" s="88">
        <f t="shared" si="8"/>
        <v>0</v>
      </c>
    </row>
    <row r="576" spans="1:7">
      <c r="A576" s="57" t="s">
        <v>756</v>
      </c>
      <c r="B576" s="124">
        <v>542103</v>
      </c>
      <c r="C576" s="118"/>
      <c r="G576" s="88">
        <f t="shared" si="8"/>
        <v>0</v>
      </c>
    </row>
    <row r="577" spans="1:7">
      <c r="A577" s="58" t="s">
        <v>757</v>
      </c>
      <c r="B577" s="123">
        <v>542114</v>
      </c>
      <c r="C577" s="118"/>
      <c r="G577" s="88">
        <f t="shared" si="8"/>
        <v>0</v>
      </c>
    </row>
    <row r="578" spans="1:7">
      <c r="A578" s="57" t="s">
        <v>758</v>
      </c>
      <c r="B578" s="124">
        <v>512113</v>
      </c>
      <c r="C578" s="118"/>
      <c r="G578" s="88">
        <f t="shared" si="8"/>
        <v>0</v>
      </c>
    </row>
    <row r="579" spans="1:7">
      <c r="A579" s="58" t="s">
        <v>759</v>
      </c>
      <c r="B579" s="123">
        <v>513113</v>
      </c>
      <c r="C579" s="118"/>
      <c r="G579" s="88">
        <f t="shared" ref="G579:G642" si="9">C579-H579</f>
        <v>0</v>
      </c>
    </row>
    <row r="580" spans="1:7">
      <c r="A580" s="57" t="s">
        <v>760</v>
      </c>
      <c r="B580" s="124">
        <v>542113</v>
      </c>
      <c r="C580" s="118"/>
      <c r="G580" s="88">
        <f t="shared" si="9"/>
        <v>0</v>
      </c>
    </row>
    <row r="581" spans="1:7">
      <c r="A581" s="58" t="s">
        <v>761</v>
      </c>
      <c r="B581" s="123">
        <v>513115</v>
      </c>
      <c r="C581" s="118"/>
      <c r="G581" s="88">
        <f t="shared" si="9"/>
        <v>0</v>
      </c>
    </row>
    <row r="582" spans="1:7">
      <c r="A582" s="57" t="s">
        <v>762</v>
      </c>
      <c r="B582" s="124">
        <v>512101</v>
      </c>
      <c r="C582" s="118"/>
      <c r="G582" s="88">
        <f t="shared" si="9"/>
        <v>0</v>
      </c>
    </row>
    <row r="583" spans="1:7">
      <c r="A583" s="58" t="s">
        <v>763</v>
      </c>
      <c r="B583" s="123">
        <v>513101</v>
      </c>
      <c r="C583" s="118"/>
      <c r="G583" s="88">
        <f t="shared" si="9"/>
        <v>0</v>
      </c>
    </row>
    <row r="584" spans="1:7">
      <c r="A584" s="57" t="s">
        <v>764</v>
      </c>
      <c r="B584" s="124">
        <v>514101</v>
      </c>
      <c r="C584" s="118"/>
      <c r="G584" s="88">
        <f t="shared" si="9"/>
        <v>0</v>
      </c>
    </row>
    <row r="585" spans="1:7">
      <c r="A585" s="58" t="s">
        <v>765</v>
      </c>
      <c r="B585" s="123">
        <v>512102</v>
      </c>
      <c r="C585" s="118"/>
      <c r="G585" s="88">
        <f t="shared" si="9"/>
        <v>0</v>
      </c>
    </row>
    <row r="586" spans="1:7">
      <c r="A586" s="57" t="s">
        <v>766</v>
      </c>
      <c r="B586" s="124">
        <v>513102</v>
      </c>
      <c r="C586" s="118"/>
      <c r="G586" s="88">
        <f t="shared" si="9"/>
        <v>0</v>
      </c>
    </row>
    <row r="587" spans="1:7">
      <c r="A587" s="58" t="s">
        <v>767</v>
      </c>
      <c r="B587" s="123">
        <v>513116</v>
      </c>
      <c r="C587" s="118"/>
      <c r="G587" s="88">
        <f t="shared" si="9"/>
        <v>0</v>
      </c>
    </row>
    <row r="588" spans="1:7">
      <c r="A588" s="57" t="s">
        <v>768</v>
      </c>
      <c r="B588" s="124">
        <v>512103</v>
      </c>
      <c r="C588" s="118"/>
      <c r="G588" s="88">
        <f t="shared" si="9"/>
        <v>0</v>
      </c>
    </row>
    <row r="589" spans="1:7">
      <c r="A589" s="58" t="s">
        <v>769</v>
      </c>
      <c r="B589" s="123">
        <v>513103</v>
      </c>
      <c r="C589" s="118"/>
      <c r="G589" s="88">
        <f t="shared" si="9"/>
        <v>0</v>
      </c>
    </row>
    <row r="590" spans="1:7">
      <c r="A590" s="57" t="s">
        <v>770</v>
      </c>
      <c r="B590" s="124">
        <v>512104</v>
      </c>
      <c r="C590" s="118"/>
      <c r="G590" s="88">
        <f t="shared" si="9"/>
        <v>0</v>
      </c>
    </row>
    <row r="591" spans="1:7">
      <c r="A591" s="58" t="s">
        <v>771</v>
      </c>
      <c r="B591" s="123">
        <v>513104</v>
      </c>
      <c r="C591" s="118"/>
      <c r="G591" s="88">
        <f t="shared" si="9"/>
        <v>0</v>
      </c>
    </row>
    <row r="592" spans="1:7">
      <c r="A592" s="57" t="s">
        <v>772</v>
      </c>
      <c r="B592" s="124">
        <v>512105</v>
      </c>
      <c r="C592" s="118"/>
      <c r="G592" s="88">
        <f t="shared" si="9"/>
        <v>0</v>
      </c>
    </row>
    <row r="593" spans="1:8">
      <c r="A593" s="58" t="s">
        <v>773</v>
      </c>
      <c r="B593" s="123">
        <v>513105</v>
      </c>
      <c r="C593" s="118"/>
      <c r="G593" s="88">
        <f t="shared" si="9"/>
        <v>0</v>
      </c>
    </row>
    <row r="594" spans="1:8">
      <c r="A594" s="57" t="s">
        <v>774</v>
      </c>
      <c r="B594" s="124">
        <v>514105</v>
      </c>
      <c r="C594" s="118"/>
      <c r="G594" s="88">
        <f t="shared" si="9"/>
        <v>0</v>
      </c>
    </row>
    <row r="595" spans="1:8">
      <c r="A595" s="58" t="s">
        <v>775</v>
      </c>
      <c r="B595" s="123">
        <v>532102</v>
      </c>
      <c r="C595" s="118"/>
      <c r="G595" s="88">
        <f t="shared" si="9"/>
        <v>0</v>
      </c>
    </row>
    <row r="596" spans="1:8">
      <c r="A596" s="57" t="s">
        <v>776</v>
      </c>
      <c r="B596" s="124">
        <v>512106</v>
      </c>
      <c r="C596" s="118"/>
      <c r="G596" s="88">
        <f t="shared" si="9"/>
        <v>-323</v>
      </c>
      <c r="H596" s="99">
        <v>323</v>
      </c>
    </row>
    <row r="597" spans="1:8">
      <c r="A597" s="58" t="s">
        <v>777</v>
      </c>
      <c r="B597" s="123">
        <v>513106</v>
      </c>
      <c r="C597" s="118"/>
      <c r="G597" s="88">
        <f t="shared" si="9"/>
        <v>0</v>
      </c>
    </row>
    <row r="598" spans="1:8">
      <c r="A598" s="57" t="s">
        <v>778</v>
      </c>
      <c r="B598" s="124">
        <v>514106</v>
      </c>
      <c r="C598" s="118"/>
      <c r="G598" s="88">
        <f t="shared" si="9"/>
        <v>0</v>
      </c>
    </row>
    <row r="599" spans="1:8">
      <c r="A599" s="58" t="s">
        <v>779</v>
      </c>
      <c r="B599" s="123">
        <v>512107</v>
      </c>
      <c r="C599" s="118"/>
      <c r="G599" s="88">
        <f t="shared" si="9"/>
        <v>0</v>
      </c>
    </row>
    <row r="600" spans="1:8">
      <c r="A600" s="57" t="s">
        <v>780</v>
      </c>
      <c r="B600" s="124">
        <v>513107</v>
      </c>
      <c r="C600" s="118"/>
      <c r="G600" s="88">
        <f t="shared" si="9"/>
        <v>0</v>
      </c>
    </row>
    <row r="601" spans="1:8">
      <c r="A601" s="58" t="s">
        <v>781</v>
      </c>
      <c r="B601" s="123">
        <v>514107</v>
      </c>
      <c r="C601" s="118"/>
      <c r="G601" s="88">
        <f t="shared" si="9"/>
        <v>0</v>
      </c>
    </row>
    <row r="602" spans="1:8">
      <c r="A602" s="57" t="s">
        <v>782</v>
      </c>
      <c r="B602" s="124">
        <v>532101</v>
      </c>
      <c r="C602" s="118"/>
      <c r="G602" s="88">
        <f t="shared" si="9"/>
        <v>0</v>
      </c>
    </row>
    <row r="603" spans="1:8">
      <c r="A603" s="58" t="s">
        <v>783</v>
      </c>
      <c r="B603" s="123">
        <v>512108</v>
      </c>
      <c r="C603" s="118"/>
      <c r="G603" s="88">
        <f t="shared" si="9"/>
        <v>0</v>
      </c>
    </row>
    <row r="604" spans="1:8">
      <c r="A604" s="57" t="s">
        <v>784</v>
      </c>
      <c r="B604" s="124">
        <v>513108</v>
      </c>
      <c r="C604" s="118"/>
      <c r="G604" s="88">
        <f t="shared" si="9"/>
        <v>0</v>
      </c>
    </row>
    <row r="605" spans="1:8">
      <c r="A605" s="58" t="s">
        <v>785</v>
      </c>
      <c r="B605" s="123">
        <v>542106</v>
      </c>
      <c r="C605" s="118"/>
      <c r="G605" s="88">
        <f t="shared" si="9"/>
        <v>0</v>
      </c>
    </row>
    <row r="606" spans="1:8">
      <c r="A606" s="57" t="s">
        <v>786</v>
      </c>
      <c r="B606" s="124">
        <v>542105</v>
      </c>
      <c r="C606" s="118"/>
      <c r="G606" s="88">
        <f t="shared" si="9"/>
        <v>0</v>
      </c>
    </row>
    <row r="607" spans="1:8">
      <c r="A607" s="58" t="s">
        <v>787</v>
      </c>
      <c r="B607" s="123">
        <v>512109</v>
      </c>
      <c r="C607" s="118"/>
      <c r="G607" s="88">
        <f t="shared" si="9"/>
        <v>-300</v>
      </c>
      <c r="H607" s="99">
        <v>300</v>
      </c>
    </row>
    <row r="608" spans="1:8">
      <c r="A608" s="57" t="s">
        <v>788</v>
      </c>
      <c r="B608" s="124">
        <v>513109</v>
      </c>
      <c r="C608" s="118"/>
      <c r="G608" s="88">
        <f t="shared" si="9"/>
        <v>0</v>
      </c>
    </row>
    <row r="609" spans="1:8">
      <c r="A609" s="58" t="s">
        <v>789</v>
      </c>
      <c r="B609" s="123">
        <v>514109</v>
      </c>
      <c r="C609" s="118"/>
      <c r="G609" s="88">
        <f t="shared" si="9"/>
        <v>-23</v>
      </c>
      <c r="H609" s="99">
        <v>23</v>
      </c>
    </row>
    <row r="610" spans="1:8">
      <c r="A610" s="57" t="s">
        <v>790</v>
      </c>
      <c r="B610" s="124">
        <v>542119</v>
      </c>
      <c r="C610" s="118"/>
      <c r="G610" s="88">
        <f t="shared" si="9"/>
        <v>0</v>
      </c>
    </row>
    <row r="611" spans="1:8">
      <c r="A611" s="58" t="s">
        <v>791</v>
      </c>
      <c r="B611" s="123">
        <v>512117</v>
      </c>
      <c r="C611" s="118"/>
      <c r="G611" s="88">
        <f t="shared" si="9"/>
        <v>0</v>
      </c>
    </row>
    <row r="612" spans="1:8">
      <c r="A612" s="57" t="s">
        <v>792</v>
      </c>
      <c r="B612" s="124">
        <v>432201</v>
      </c>
      <c r="C612" s="118"/>
      <c r="G612" s="88">
        <f t="shared" si="9"/>
        <v>0</v>
      </c>
    </row>
    <row r="613" spans="1:8">
      <c r="A613" s="58" t="s">
        <v>793</v>
      </c>
      <c r="B613" s="123">
        <v>431310</v>
      </c>
      <c r="C613" s="118"/>
      <c r="G613" s="88">
        <f t="shared" si="9"/>
        <v>0</v>
      </c>
    </row>
    <row r="614" spans="1:8">
      <c r="A614" s="57" t="s">
        <v>794</v>
      </c>
      <c r="B614" s="124">
        <v>431311</v>
      </c>
      <c r="C614" s="118"/>
      <c r="G614" s="88">
        <f t="shared" si="9"/>
        <v>0</v>
      </c>
    </row>
    <row r="615" spans="1:8">
      <c r="A615" s="58" t="s">
        <v>795</v>
      </c>
      <c r="B615" s="123">
        <v>434312</v>
      </c>
      <c r="C615" s="118"/>
      <c r="G615" s="88">
        <f t="shared" si="9"/>
        <v>0</v>
      </c>
    </row>
    <row r="616" spans="1:8">
      <c r="A616" s="57" t="s">
        <v>796</v>
      </c>
      <c r="B616" s="124">
        <v>438118</v>
      </c>
      <c r="C616" s="118"/>
      <c r="G616" s="88">
        <f t="shared" si="9"/>
        <v>0</v>
      </c>
    </row>
    <row r="617" spans="1:8">
      <c r="A617" s="58" t="s">
        <v>797</v>
      </c>
      <c r="B617" s="123">
        <v>432101</v>
      </c>
      <c r="C617" s="118"/>
      <c r="G617" s="88">
        <f t="shared" si="9"/>
        <v>0</v>
      </c>
    </row>
    <row r="618" spans="1:8">
      <c r="A618" s="57" t="s">
        <v>798</v>
      </c>
      <c r="B618" s="124">
        <v>432312</v>
      </c>
      <c r="C618" s="118"/>
      <c r="G618" s="88">
        <f t="shared" si="9"/>
        <v>0</v>
      </c>
    </row>
    <row r="619" spans="1:8">
      <c r="A619" s="58" t="s">
        <v>799</v>
      </c>
      <c r="B619" s="123">
        <v>438119</v>
      </c>
      <c r="C619" s="118"/>
      <c r="G619" s="88">
        <f t="shared" si="9"/>
        <v>0</v>
      </c>
    </row>
    <row r="620" spans="1:8">
      <c r="A620" s="57" t="s">
        <v>800</v>
      </c>
      <c r="B620" s="124">
        <v>431314</v>
      </c>
      <c r="C620" s="118"/>
      <c r="G620" s="88">
        <f t="shared" si="9"/>
        <v>-20</v>
      </c>
      <c r="H620" s="99">
        <v>20</v>
      </c>
    </row>
    <row r="621" spans="1:8">
      <c r="A621" s="58" t="s">
        <v>801</v>
      </c>
      <c r="B621" s="123">
        <v>432123</v>
      </c>
      <c r="C621" s="118"/>
      <c r="G621" s="88">
        <f t="shared" si="9"/>
        <v>0</v>
      </c>
    </row>
    <row r="622" spans="1:8">
      <c r="A622" s="57" t="s">
        <v>909</v>
      </c>
      <c r="B622" s="124">
        <v>433198</v>
      </c>
      <c r="C622" s="118"/>
      <c r="G622" s="88">
        <f t="shared" si="9"/>
        <v>0</v>
      </c>
    </row>
    <row r="623" spans="1:8">
      <c r="A623" s="58" t="s">
        <v>908</v>
      </c>
      <c r="B623" s="123">
        <v>433199</v>
      </c>
      <c r="C623" s="118"/>
      <c r="G623" s="88">
        <f t="shared" si="9"/>
        <v>0</v>
      </c>
    </row>
    <row r="624" spans="1:8">
      <c r="A624" s="57" t="s">
        <v>907</v>
      </c>
      <c r="B624" s="124">
        <v>432313</v>
      </c>
      <c r="C624" s="118"/>
      <c r="G624" s="88">
        <f t="shared" si="9"/>
        <v>0</v>
      </c>
    </row>
    <row r="625" spans="1:7">
      <c r="A625" s="58" t="s">
        <v>906</v>
      </c>
      <c r="B625" s="123">
        <v>434311</v>
      </c>
      <c r="C625" s="118"/>
      <c r="G625" s="88">
        <f t="shared" si="9"/>
        <v>0</v>
      </c>
    </row>
    <row r="626" spans="1:7">
      <c r="A626" s="57" t="s">
        <v>905</v>
      </c>
      <c r="B626" s="124">
        <v>431312</v>
      </c>
      <c r="C626" s="118"/>
      <c r="G626" s="88">
        <f t="shared" si="9"/>
        <v>0</v>
      </c>
    </row>
    <row r="627" spans="1:7">
      <c r="A627" s="58" t="s">
        <v>904</v>
      </c>
      <c r="B627" s="123">
        <v>432114</v>
      </c>
      <c r="C627" s="118"/>
      <c r="G627" s="88">
        <f t="shared" si="9"/>
        <v>0</v>
      </c>
    </row>
    <row r="628" spans="1:7">
      <c r="A628" s="57" t="s">
        <v>903</v>
      </c>
      <c r="B628" s="124">
        <v>436102</v>
      </c>
      <c r="C628" s="118"/>
      <c r="G628" s="88">
        <f t="shared" si="9"/>
        <v>0</v>
      </c>
    </row>
    <row r="629" spans="1:7">
      <c r="A629" s="58" t="s">
        <v>902</v>
      </c>
      <c r="B629" s="123">
        <v>437104</v>
      </c>
      <c r="C629" s="118"/>
      <c r="G629" s="88">
        <f t="shared" si="9"/>
        <v>0</v>
      </c>
    </row>
    <row r="630" spans="1:7">
      <c r="A630" s="57" t="s">
        <v>901</v>
      </c>
      <c r="B630" s="124">
        <v>432115</v>
      </c>
      <c r="C630" s="118"/>
      <c r="G630" s="88">
        <f t="shared" si="9"/>
        <v>0</v>
      </c>
    </row>
    <row r="631" spans="1:7">
      <c r="A631" s="58" t="s">
        <v>900</v>
      </c>
      <c r="B631" s="123">
        <v>433115</v>
      </c>
      <c r="C631" s="118"/>
      <c r="G631" s="88">
        <f t="shared" si="9"/>
        <v>0</v>
      </c>
    </row>
    <row r="632" spans="1:7">
      <c r="A632" s="57" t="s">
        <v>899</v>
      </c>
      <c r="B632" s="124">
        <v>434115</v>
      </c>
      <c r="C632" s="118"/>
      <c r="G632" s="88">
        <f t="shared" si="9"/>
        <v>0</v>
      </c>
    </row>
    <row r="633" spans="1:7">
      <c r="A633" s="58" t="s">
        <v>898</v>
      </c>
      <c r="B633" s="123">
        <v>432116</v>
      </c>
      <c r="C633" s="118"/>
      <c r="G633" s="88">
        <f t="shared" si="9"/>
        <v>0</v>
      </c>
    </row>
    <row r="634" spans="1:7">
      <c r="A634" s="57" t="s">
        <v>897</v>
      </c>
      <c r="B634" s="124">
        <v>433116</v>
      </c>
      <c r="C634" s="118"/>
      <c r="G634" s="88">
        <f t="shared" si="9"/>
        <v>0</v>
      </c>
    </row>
    <row r="635" spans="1:7">
      <c r="A635" s="58" t="s">
        <v>896</v>
      </c>
      <c r="B635" s="123">
        <v>434116</v>
      </c>
      <c r="C635" s="118"/>
      <c r="G635" s="88">
        <f t="shared" si="9"/>
        <v>0</v>
      </c>
    </row>
    <row r="636" spans="1:7">
      <c r="A636" s="57" t="s">
        <v>895</v>
      </c>
      <c r="B636" s="124">
        <v>432117</v>
      </c>
      <c r="C636" s="118"/>
      <c r="G636" s="88">
        <f t="shared" si="9"/>
        <v>0</v>
      </c>
    </row>
    <row r="637" spans="1:7">
      <c r="A637" s="58" t="s">
        <v>894</v>
      </c>
      <c r="B637" s="123">
        <v>436103</v>
      </c>
      <c r="C637" s="118"/>
      <c r="G637" s="88">
        <f t="shared" si="9"/>
        <v>0</v>
      </c>
    </row>
    <row r="638" spans="1:7">
      <c r="A638" s="57" t="s">
        <v>893</v>
      </c>
      <c r="B638" s="124">
        <v>438107</v>
      </c>
      <c r="C638" s="118"/>
      <c r="G638" s="88">
        <f t="shared" si="9"/>
        <v>0</v>
      </c>
    </row>
    <row r="639" spans="1:7">
      <c r="A639" s="58" t="s">
        <v>892</v>
      </c>
      <c r="B639" s="123">
        <v>431115</v>
      </c>
      <c r="C639" s="118"/>
      <c r="G639" s="88">
        <f t="shared" si="9"/>
        <v>0</v>
      </c>
    </row>
    <row r="640" spans="1:7">
      <c r="A640" s="57" t="s">
        <v>891</v>
      </c>
      <c r="B640" s="124">
        <v>432118</v>
      </c>
      <c r="C640" s="118"/>
      <c r="G640" s="88">
        <f t="shared" si="9"/>
        <v>0</v>
      </c>
    </row>
    <row r="641" spans="1:7">
      <c r="A641" s="58" t="s">
        <v>890</v>
      </c>
      <c r="B641" s="123">
        <v>433118</v>
      </c>
      <c r="C641" s="118"/>
      <c r="G641" s="88">
        <f t="shared" si="9"/>
        <v>0</v>
      </c>
    </row>
    <row r="642" spans="1:7">
      <c r="A642" s="57" t="s">
        <v>889</v>
      </c>
      <c r="B642" s="124">
        <v>434118</v>
      </c>
      <c r="C642" s="118"/>
      <c r="G642" s="88">
        <f t="shared" si="9"/>
        <v>0</v>
      </c>
    </row>
    <row r="643" spans="1:7">
      <c r="A643" s="58" t="s">
        <v>888</v>
      </c>
      <c r="B643" s="123">
        <v>432119</v>
      </c>
      <c r="C643" s="118"/>
      <c r="G643" s="88">
        <f t="shared" ref="G643:G706" si="10">C643-H643</f>
        <v>0</v>
      </c>
    </row>
    <row r="644" spans="1:7">
      <c r="A644" s="57" t="s">
        <v>887</v>
      </c>
      <c r="B644" s="124">
        <v>433119</v>
      </c>
      <c r="C644" s="118"/>
      <c r="G644" s="88">
        <f t="shared" si="10"/>
        <v>0</v>
      </c>
    </row>
    <row r="645" spans="1:7">
      <c r="A645" s="58" t="s">
        <v>886</v>
      </c>
      <c r="B645" s="123">
        <v>434119</v>
      </c>
      <c r="C645" s="118"/>
      <c r="G645" s="88">
        <f t="shared" si="10"/>
        <v>0</v>
      </c>
    </row>
    <row r="646" spans="1:7">
      <c r="A646" s="57" t="s">
        <v>885</v>
      </c>
      <c r="B646" s="124">
        <v>431111</v>
      </c>
      <c r="C646" s="118"/>
      <c r="G646" s="88">
        <f t="shared" si="10"/>
        <v>0</v>
      </c>
    </row>
    <row r="647" spans="1:7">
      <c r="A647" s="58" t="s">
        <v>884</v>
      </c>
      <c r="B647" s="123">
        <v>432120</v>
      </c>
      <c r="C647" s="118"/>
      <c r="G647" s="88">
        <f t="shared" si="10"/>
        <v>0</v>
      </c>
    </row>
    <row r="648" spans="1:7">
      <c r="A648" s="57" t="s">
        <v>883</v>
      </c>
      <c r="B648" s="124">
        <v>433120</v>
      </c>
      <c r="C648" s="118"/>
      <c r="G648" s="88">
        <f t="shared" si="10"/>
        <v>0</v>
      </c>
    </row>
    <row r="649" spans="1:7">
      <c r="A649" s="58" t="s">
        <v>882</v>
      </c>
      <c r="B649" s="123">
        <v>434120</v>
      </c>
      <c r="C649" s="118"/>
      <c r="G649" s="88">
        <f t="shared" si="10"/>
        <v>0</v>
      </c>
    </row>
    <row r="650" spans="1:7">
      <c r="A650" s="57" t="s">
        <v>881</v>
      </c>
      <c r="B650" s="124">
        <v>432315</v>
      </c>
      <c r="C650" s="118"/>
      <c r="G650" s="88">
        <f t="shared" si="10"/>
        <v>0</v>
      </c>
    </row>
    <row r="651" spans="1:7">
      <c r="A651" s="58" t="s">
        <v>880</v>
      </c>
      <c r="B651" s="123">
        <v>434315</v>
      </c>
      <c r="C651" s="118"/>
      <c r="G651" s="88">
        <f t="shared" si="10"/>
        <v>0</v>
      </c>
    </row>
    <row r="652" spans="1:7">
      <c r="A652" s="57" t="s">
        <v>879</v>
      </c>
      <c r="B652" s="124">
        <v>432121</v>
      </c>
      <c r="C652" s="118"/>
      <c r="G652" s="88">
        <f t="shared" si="10"/>
        <v>0</v>
      </c>
    </row>
    <row r="653" spans="1:7">
      <c r="A653" s="58" t="s">
        <v>878</v>
      </c>
      <c r="B653" s="123">
        <v>433121</v>
      </c>
      <c r="C653" s="118"/>
      <c r="G653" s="88">
        <f t="shared" si="10"/>
        <v>0</v>
      </c>
    </row>
    <row r="654" spans="1:7">
      <c r="A654" s="57" t="s">
        <v>877</v>
      </c>
      <c r="B654" s="124">
        <v>434121</v>
      </c>
      <c r="C654" s="118"/>
      <c r="G654" s="88">
        <f t="shared" si="10"/>
        <v>0</v>
      </c>
    </row>
    <row r="655" spans="1:7">
      <c r="A655" s="58" t="s">
        <v>876</v>
      </c>
      <c r="B655" s="123">
        <v>432122</v>
      </c>
      <c r="C655" s="118"/>
      <c r="G655" s="88">
        <f t="shared" si="10"/>
        <v>0</v>
      </c>
    </row>
    <row r="656" spans="1:7">
      <c r="A656" s="57" t="s">
        <v>875</v>
      </c>
      <c r="B656" s="124">
        <v>433122</v>
      </c>
      <c r="C656" s="118"/>
      <c r="G656" s="88">
        <f t="shared" si="10"/>
        <v>0</v>
      </c>
    </row>
    <row r="657" spans="1:8">
      <c r="A657" s="58" t="s">
        <v>874</v>
      </c>
      <c r="B657" s="123">
        <v>434122</v>
      </c>
      <c r="C657" s="118"/>
      <c r="G657" s="88">
        <f t="shared" si="10"/>
        <v>0</v>
      </c>
    </row>
    <row r="658" spans="1:8">
      <c r="A658" s="57" t="s">
        <v>873</v>
      </c>
      <c r="B658" s="124">
        <v>434101</v>
      </c>
      <c r="C658" s="118"/>
      <c r="G658" s="88">
        <f t="shared" si="10"/>
        <v>0</v>
      </c>
    </row>
    <row r="659" spans="1:8">
      <c r="A659" s="58" t="s">
        <v>872</v>
      </c>
      <c r="B659" s="123">
        <v>432102</v>
      </c>
      <c r="C659" s="118"/>
      <c r="G659" s="88">
        <f t="shared" si="10"/>
        <v>0</v>
      </c>
    </row>
    <row r="660" spans="1:8">
      <c r="A660" s="57" t="s">
        <v>871</v>
      </c>
      <c r="B660" s="124">
        <v>431103</v>
      </c>
      <c r="C660" s="118"/>
      <c r="G660" s="88">
        <f t="shared" si="10"/>
        <v>0</v>
      </c>
    </row>
    <row r="661" spans="1:8">
      <c r="A661" s="58" t="s">
        <v>870</v>
      </c>
      <c r="B661" s="123">
        <v>433102</v>
      </c>
      <c r="C661" s="118"/>
      <c r="G661" s="88">
        <f t="shared" si="10"/>
        <v>0</v>
      </c>
    </row>
    <row r="662" spans="1:8">
      <c r="A662" s="57" t="s">
        <v>869</v>
      </c>
      <c r="B662" s="124">
        <v>434102</v>
      </c>
      <c r="C662" s="118"/>
      <c r="G662" s="88">
        <f t="shared" si="10"/>
        <v>0</v>
      </c>
    </row>
    <row r="663" spans="1:8">
      <c r="A663" s="58" t="s">
        <v>868</v>
      </c>
      <c r="B663" s="123">
        <v>432103</v>
      </c>
      <c r="C663" s="118"/>
      <c r="G663" s="88">
        <f t="shared" si="10"/>
        <v>0</v>
      </c>
    </row>
    <row r="664" spans="1:8">
      <c r="A664" s="57" t="s">
        <v>867</v>
      </c>
      <c r="B664" s="124">
        <v>433103</v>
      </c>
      <c r="C664" s="118"/>
      <c r="G664" s="88">
        <f t="shared" si="10"/>
        <v>0</v>
      </c>
    </row>
    <row r="665" spans="1:8">
      <c r="A665" s="58" t="s">
        <v>866</v>
      </c>
      <c r="B665" s="123">
        <v>434103</v>
      </c>
      <c r="C665" s="118"/>
      <c r="G665" s="88">
        <f t="shared" si="10"/>
        <v>0</v>
      </c>
    </row>
    <row r="666" spans="1:8">
      <c r="A666" s="57" t="s">
        <v>865</v>
      </c>
      <c r="B666" s="124">
        <v>432104</v>
      </c>
      <c r="C666" s="118"/>
      <c r="G666" s="88">
        <f t="shared" si="10"/>
        <v>0</v>
      </c>
    </row>
    <row r="667" spans="1:8">
      <c r="A667" s="58" t="s">
        <v>864</v>
      </c>
      <c r="B667" s="123">
        <v>433104</v>
      </c>
      <c r="C667" s="118"/>
      <c r="G667" s="88">
        <f t="shared" si="10"/>
        <v>0</v>
      </c>
    </row>
    <row r="668" spans="1:8">
      <c r="A668" s="57" t="s">
        <v>862</v>
      </c>
      <c r="B668" s="124">
        <v>434104</v>
      </c>
      <c r="C668" s="118"/>
      <c r="G668" s="88">
        <f t="shared" si="10"/>
        <v>-200</v>
      </c>
      <c r="H668" s="99">
        <v>200</v>
      </c>
    </row>
    <row r="669" spans="1:8">
      <c r="A669" s="58" t="s">
        <v>863</v>
      </c>
      <c r="B669" s="123">
        <v>432105</v>
      </c>
      <c r="C669" s="118"/>
      <c r="G669" s="88">
        <f t="shared" si="10"/>
        <v>0</v>
      </c>
    </row>
    <row r="670" spans="1:8">
      <c r="A670" s="57" t="s">
        <v>861</v>
      </c>
      <c r="B670" s="124">
        <v>433105</v>
      </c>
      <c r="C670" s="118"/>
      <c r="G670" s="88">
        <f t="shared" si="10"/>
        <v>0</v>
      </c>
    </row>
    <row r="671" spans="1:8">
      <c r="A671" s="58" t="s">
        <v>860</v>
      </c>
      <c r="B671" s="123">
        <v>434105</v>
      </c>
      <c r="C671" s="118"/>
      <c r="G671" s="88">
        <f t="shared" si="10"/>
        <v>0</v>
      </c>
    </row>
    <row r="672" spans="1:8">
      <c r="A672" s="57" t="s">
        <v>859</v>
      </c>
      <c r="B672" s="124">
        <v>432106</v>
      </c>
      <c r="C672" s="118"/>
      <c r="G672" s="88">
        <f t="shared" si="10"/>
        <v>0</v>
      </c>
    </row>
    <row r="673" spans="1:7">
      <c r="A673" s="58" t="s">
        <v>858</v>
      </c>
      <c r="B673" s="123">
        <v>433106</v>
      </c>
      <c r="C673" s="118"/>
      <c r="G673" s="88">
        <f t="shared" si="10"/>
        <v>0</v>
      </c>
    </row>
    <row r="674" spans="1:7">
      <c r="A674" s="57" t="s">
        <v>857</v>
      </c>
      <c r="B674" s="124">
        <v>434106</v>
      </c>
      <c r="C674" s="118"/>
      <c r="G674" s="88">
        <f t="shared" si="10"/>
        <v>0</v>
      </c>
    </row>
    <row r="675" spans="1:7">
      <c r="A675" s="58" t="s">
        <v>856</v>
      </c>
      <c r="B675" s="123">
        <v>433107</v>
      </c>
      <c r="C675" s="118"/>
      <c r="G675" s="88">
        <f t="shared" si="10"/>
        <v>0</v>
      </c>
    </row>
    <row r="676" spans="1:7">
      <c r="A676" s="57" t="s">
        <v>855</v>
      </c>
      <c r="B676" s="124">
        <v>432107</v>
      </c>
      <c r="C676" s="118"/>
      <c r="G676" s="88">
        <f t="shared" si="10"/>
        <v>0</v>
      </c>
    </row>
    <row r="677" spans="1:7">
      <c r="A677" s="58" t="s">
        <v>854</v>
      </c>
      <c r="B677" s="123">
        <v>434107</v>
      </c>
      <c r="C677" s="118"/>
      <c r="G677" s="88">
        <f t="shared" si="10"/>
        <v>0</v>
      </c>
    </row>
    <row r="678" spans="1:7">
      <c r="A678" s="57" t="s">
        <v>853</v>
      </c>
      <c r="B678" s="124">
        <v>432108</v>
      </c>
      <c r="C678" s="118"/>
      <c r="G678" s="88">
        <f t="shared" si="10"/>
        <v>0</v>
      </c>
    </row>
    <row r="679" spans="1:7">
      <c r="A679" s="58" t="s">
        <v>852</v>
      </c>
      <c r="B679" s="123">
        <v>433108</v>
      </c>
      <c r="C679" s="118"/>
      <c r="G679" s="88">
        <f t="shared" si="10"/>
        <v>0</v>
      </c>
    </row>
    <row r="680" spans="1:7">
      <c r="A680" s="57" t="s">
        <v>851</v>
      </c>
      <c r="B680" s="124">
        <v>434108</v>
      </c>
      <c r="C680" s="118"/>
      <c r="G680" s="88">
        <f t="shared" si="10"/>
        <v>0</v>
      </c>
    </row>
    <row r="681" spans="1:7">
      <c r="A681" s="58" t="s">
        <v>850</v>
      </c>
      <c r="B681" s="123">
        <v>432109</v>
      </c>
      <c r="C681" s="118"/>
      <c r="G681" s="88">
        <f t="shared" si="10"/>
        <v>0</v>
      </c>
    </row>
    <row r="682" spans="1:7">
      <c r="A682" s="57" t="s">
        <v>849</v>
      </c>
      <c r="B682" s="124">
        <v>433109</v>
      </c>
      <c r="C682" s="118"/>
      <c r="G682" s="88">
        <f t="shared" si="10"/>
        <v>0</v>
      </c>
    </row>
    <row r="683" spans="1:7">
      <c r="A683" s="58" t="s">
        <v>848</v>
      </c>
      <c r="B683" s="123">
        <v>434109</v>
      </c>
      <c r="C683" s="118"/>
      <c r="G683" s="88">
        <f t="shared" si="10"/>
        <v>0</v>
      </c>
    </row>
    <row r="684" spans="1:7">
      <c r="A684" s="57" t="s">
        <v>847</v>
      </c>
      <c r="B684" s="124">
        <v>432110</v>
      </c>
      <c r="C684" s="118"/>
      <c r="G684" s="88">
        <f t="shared" si="10"/>
        <v>0</v>
      </c>
    </row>
    <row r="685" spans="1:7">
      <c r="A685" s="58" t="s">
        <v>846</v>
      </c>
      <c r="B685" s="123">
        <v>432111</v>
      </c>
      <c r="C685" s="118"/>
      <c r="G685" s="88">
        <f t="shared" si="10"/>
        <v>0</v>
      </c>
    </row>
    <row r="686" spans="1:7">
      <c r="A686" s="57" t="s">
        <v>845</v>
      </c>
      <c r="B686" s="124">
        <v>431105</v>
      </c>
      <c r="C686" s="118"/>
      <c r="G686" s="88">
        <f t="shared" si="10"/>
        <v>0</v>
      </c>
    </row>
    <row r="687" spans="1:7">
      <c r="A687" s="58" t="s">
        <v>844</v>
      </c>
      <c r="B687" s="123">
        <v>432112</v>
      </c>
      <c r="C687" s="118"/>
      <c r="G687" s="88">
        <f t="shared" si="10"/>
        <v>0</v>
      </c>
    </row>
    <row r="688" spans="1:7">
      <c r="A688" s="57" t="s">
        <v>843</v>
      </c>
      <c r="B688" s="124">
        <v>433112</v>
      </c>
      <c r="C688" s="118"/>
      <c r="G688" s="88">
        <f t="shared" si="10"/>
        <v>0</v>
      </c>
    </row>
    <row r="689" spans="1:7">
      <c r="A689" s="58" t="s">
        <v>842</v>
      </c>
      <c r="B689" s="123">
        <v>434112</v>
      </c>
      <c r="C689" s="118"/>
      <c r="G689" s="88">
        <f t="shared" si="10"/>
        <v>0</v>
      </c>
    </row>
    <row r="690" spans="1:7">
      <c r="A690" s="57" t="s">
        <v>841</v>
      </c>
      <c r="B690" s="124">
        <v>432113</v>
      </c>
      <c r="C690" s="118"/>
      <c r="G690" s="88">
        <f t="shared" si="10"/>
        <v>0</v>
      </c>
    </row>
    <row r="691" spans="1:7">
      <c r="A691" s="58" t="s">
        <v>840</v>
      </c>
      <c r="B691" s="123">
        <v>433113</v>
      </c>
      <c r="C691" s="118"/>
      <c r="G691" s="88">
        <f t="shared" si="10"/>
        <v>0</v>
      </c>
    </row>
    <row r="692" spans="1:7">
      <c r="A692" s="57" t="s">
        <v>839</v>
      </c>
      <c r="B692" s="124">
        <v>434113</v>
      </c>
      <c r="C692" s="118"/>
      <c r="G692" s="88">
        <f t="shared" si="10"/>
        <v>0</v>
      </c>
    </row>
    <row r="693" spans="1:7">
      <c r="A693" s="58" t="s">
        <v>838</v>
      </c>
      <c r="B693" s="123">
        <v>433114</v>
      </c>
      <c r="C693" s="118"/>
      <c r="G693" s="88">
        <f t="shared" si="10"/>
        <v>0</v>
      </c>
    </row>
    <row r="694" spans="1:7">
      <c r="A694" s="57" t="s">
        <v>837</v>
      </c>
      <c r="B694" s="124">
        <v>421301</v>
      </c>
      <c r="C694" s="118"/>
      <c r="G694" s="88">
        <f t="shared" si="10"/>
        <v>0</v>
      </c>
    </row>
    <row r="695" spans="1:7">
      <c r="A695" s="58" t="s">
        <v>836</v>
      </c>
      <c r="B695" s="123">
        <v>421303</v>
      </c>
      <c r="C695" s="118"/>
      <c r="G695" s="88">
        <f t="shared" si="10"/>
        <v>0</v>
      </c>
    </row>
    <row r="696" spans="1:7">
      <c r="A696" s="57" t="s">
        <v>835</v>
      </c>
      <c r="B696" s="124">
        <v>421102</v>
      </c>
      <c r="C696" s="118"/>
      <c r="G696" s="88">
        <f t="shared" si="10"/>
        <v>0</v>
      </c>
    </row>
    <row r="697" spans="1:7">
      <c r="A697" s="58" t="s">
        <v>834</v>
      </c>
      <c r="B697" s="123">
        <v>422102</v>
      </c>
      <c r="C697" s="118"/>
      <c r="G697" s="88">
        <f t="shared" si="10"/>
        <v>0</v>
      </c>
    </row>
    <row r="698" spans="1:7">
      <c r="A698" s="57" t="s">
        <v>833</v>
      </c>
      <c r="B698" s="124">
        <v>421103</v>
      </c>
      <c r="C698" s="118"/>
      <c r="G698" s="88">
        <f t="shared" si="10"/>
        <v>0</v>
      </c>
    </row>
    <row r="699" spans="1:7">
      <c r="A699" s="58" t="s">
        <v>832</v>
      </c>
      <c r="B699" s="123">
        <v>422103</v>
      </c>
      <c r="C699" s="118"/>
      <c r="G699" s="88">
        <f t="shared" si="10"/>
        <v>0</v>
      </c>
    </row>
    <row r="700" spans="1:7">
      <c r="A700" s="57" t="s">
        <v>831</v>
      </c>
      <c r="B700" s="124">
        <v>421104</v>
      </c>
      <c r="C700" s="118"/>
      <c r="G700" s="88">
        <f t="shared" si="10"/>
        <v>0</v>
      </c>
    </row>
    <row r="701" spans="1:7">
      <c r="A701" s="58" t="s">
        <v>831</v>
      </c>
      <c r="B701" s="123">
        <v>421104</v>
      </c>
      <c r="C701" s="118"/>
      <c r="G701" s="88">
        <f t="shared" si="10"/>
        <v>0</v>
      </c>
    </row>
    <row r="702" spans="1:7">
      <c r="A702" s="57" t="s">
        <v>830</v>
      </c>
      <c r="B702" s="124">
        <v>422104</v>
      </c>
      <c r="C702" s="118"/>
      <c r="G702" s="88">
        <f t="shared" si="10"/>
        <v>0</v>
      </c>
    </row>
    <row r="703" spans="1:7">
      <c r="A703" s="58" t="s">
        <v>830</v>
      </c>
      <c r="B703" s="123">
        <v>422104</v>
      </c>
      <c r="C703" s="118"/>
      <c r="G703" s="88">
        <f t="shared" si="10"/>
        <v>0</v>
      </c>
    </row>
    <row r="704" spans="1:7">
      <c r="A704" s="57" t="s">
        <v>829</v>
      </c>
      <c r="B704" s="124">
        <v>421105</v>
      </c>
      <c r="C704" s="118"/>
      <c r="G704" s="88">
        <f t="shared" si="10"/>
        <v>0</v>
      </c>
    </row>
    <row r="705" spans="1:8">
      <c r="A705" s="58" t="s">
        <v>828</v>
      </c>
      <c r="B705" s="123">
        <v>422105</v>
      </c>
      <c r="C705" s="118"/>
      <c r="G705" s="88">
        <f t="shared" si="10"/>
        <v>0</v>
      </c>
    </row>
    <row r="706" spans="1:8">
      <c r="A706" s="57" t="s">
        <v>802</v>
      </c>
      <c r="B706" s="124">
        <v>432320</v>
      </c>
      <c r="C706" s="118"/>
      <c r="G706" s="88">
        <f t="shared" si="10"/>
        <v>0</v>
      </c>
    </row>
    <row r="707" spans="1:8">
      <c r="A707" s="58" t="s">
        <v>803</v>
      </c>
      <c r="B707" s="123">
        <v>432321</v>
      </c>
      <c r="C707" s="118"/>
      <c r="G707" s="88">
        <f t="shared" ref="G707:G710" si="11">C707-H707</f>
        <v>-233</v>
      </c>
      <c r="H707" s="99">
        <v>233</v>
      </c>
    </row>
    <row r="708" spans="1:8">
      <c r="A708" s="57" t="s">
        <v>804</v>
      </c>
      <c r="B708" s="124">
        <v>440004</v>
      </c>
      <c r="C708" s="118"/>
      <c r="G708" s="88">
        <f t="shared" si="11"/>
        <v>0</v>
      </c>
    </row>
    <row r="709" spans="1:8">
      <c r="A709" s="58" t="s">
        <v>805</v>
      </c>
      <c r="B709" s="123">
        <v>440005</v>
      </c>
      <c r="C709" s="118"/>
      <c r="G709" s="88">
        <f t="shared" si="11"/>
        <v>0</v>
      </c>
    </row>
    <row r="710" spans="1:8">
      <c r="A710" s="57" t="s">
        <v>934</v>
      </c>
      <c r="B710" s="124">
        <v>985648</v>
      </c>
      <c r="C710" s="118"/>
      <c r="G710" s="88">
        <f t="shared" si="11"/>
        <v>0</v>
      </c>
    </row>
  </sheetData>
  <autoFilter ref="A1:C710" xr:uid="{BF38A59A-1A49-4B63-A1C6-184F66103037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467BB-D213-4D6B-ADE1-8D1D50CD6F9D}">
  <sheetPr codeName="Planilha1"/>
  <dimension ref="C6:H30"/>
  <sheetViews>
    <sheetView showGridLines="0" topLeftCell="A4" zoomScale="160" zoomScaleNormal="160" workbookViewId="0">
      <selection activeCell="F26" sqref="F26"/>
    </sheetView>
  </sheetViews>
  <sheetFormatPr defaultRowHeight="15"/>
  <cols>
    <col min="4" max="4" width="27.5703125" customWidth="1"/>
    <col min="5" max="5" width="29.7109375" customWidth="1"/>
    <col min="6" max="6" width="33.42578125" customWidth="1"/>
    <col min="7" max="7" width="3.5703125" customWidth="1"/>
    <col min="8" max="8" width="11.42578125" customWidth="1"/>
    <col min="9" max="9" width="8.85546875" customWidth="1"/>
  </cols>
  <sheetData>
    <row r="6" spans="3:8">
      <c r="D6" s="7"/>
      <c r="E6" s="7"/>
      <c r="F6" s="7"/>
      <c r="G6" s="7"/>
    </row>
    <row r="7" spans="3:8">
      <c r="C7" s="6"/>
      <c r="D7" s="207" t="s">
        <v>807</v>
      </c>
      <c r="E7" s="207"/>
      <c r="F7" s="207"/>
      <c r="G7" s="212"/>
    </row>
    <row r="8" spans="3:8" ht="12.6" customHeight="1">
      <c r="C8" s="6"/>
      <c r="D8" s="207"/>
      <c r="E8" s="207"/>
      <c r="F8" s="207"/>
      <c r="G8" s="212"/>
    </row>
    <row r="9" spans="3:8" ht="13.15" customHeight="1">
      <c r="C9" s="6"/>
      <c r="D9" s="207"/>
      <c r="E9" s="207"/>
      <c r="F9" s="207"/>
      <c r="G9" s="212"/>
    </row>
    <row r="10" spans="3:8" ht="12.6" customHeight="1">
      <c r="C10" s="6"/>
      <c r="D10" s="207"/>
      <c r="E10" s="207"/>
      <c r="F10" s="207"/>
      <c r="G10" s="212"/>
    </row>
    <row r="11" spans="3:8" ht="12.6" customHeight="1">
      <c r="C11" s="6"/>
      <c r="D11" s="46"/>
      <c r="E11" s="46"/>
      <c r="F11" s="46"/>
      <c r="G11" s="46"/>
      <c r="H11" s="5"/>
    </row>
    <row r="12" spans="3:8" ht="15.75">
      <c r="C12" s="6"/>
      <c r="E12" s="2" t="s">
        <v>932</v>
      </c>
      <c r="F12" s="126"/>
      <c r="H12" s="5"/>
    </row>
    <row r="13" spans="3:8" ht="15.6" customHeight="1" thickBot="1">
      <c r="C13" s="6"/>
      <c r="H13" s="5"/>
    </row>
    <row r="14" spans="3:8" ht="14.45" customHeight="1">
      <c r="C14" s="6"/>
      <c r="E14" s="2" t="s">
        <v>3</v>
      </c>
      <c r="F14" s="137" t="e">
        <f>VLOOKUP(F12,Produtos!A7:D1048576,2,0)</f>
        <v>#N/A</v>
      </c>
      <c r="H14" s="5"/>
    </row>
    <row r="15" spans="3:8" ht="14.45" customHeight="1" thickBot="1">
      <c r="C15" s="6"/>
      <c r="H15" s="5"/>
    </row>
    <row r="16" spans="3:8" ht="14.45" customHeight="1">
      <c r="C16" s="6"/>
      <c r="E16" s="2" t="s">
        <v>2</v>
      </c>
      <c r="F16" s="138"/>
      <c r="H16" s="5"/>
    </row>
    <row r="17" spans="3:8" ht="14.45" customHeight="1" thickBot="1">
      <c r="C17" s="6"/>
      <c r="H17" s="5"/>
    </row>
    <row r="18" spans="3:8" ht="14.45" customHeight="1">
      <c r="C18" s="6"/>
      <c r="E18" s="2" t="s">
        <v>4</v>
      </c>
      <c r="F18" s="127"/>
      <c r="G18" s="6"/>
    </row>
    <row r="19" spans="3:8" ht="14.45" customHeight="1" thickBot="1">
      <c r="C19" s="6"/>
      <c r="G19" s="6"/>
      <c r="H19" s="1"/>
    </row>
    <row r="20" spans="3:8" ht="14.45" customHeight="1">
      <c r="C20" s="6"/>
      <c r="E20" s="2" t="s">
        <v>5</v>
      </c>
      <c r="F20" s="139">
        <f ca="1">NOW()</f>
        <v>45579.390860069441</v>
      </c>
      <c r="H20" s="5"/>
    </row>
    <row r="21" spans="3:8" ht="14.45" customHeight="1" thickBot="1">
      <c r="C21" s="6"/>
      <c r="H21" s="5"/>
    </row>
    <row r="22" spans="3:8" ht="14.45" customHeight="1">
      <c r="C22" s="6"/>
      <c r="E22" s="2" t="s">
        <v>6</v>
      </c>
      <c r="F22" s="140"/>
      <c r="H22" s="5"/>
    </row>
    <row r="23" spans="3:8" ht="14.45" customHeight="1" thickBot="1">
      <c r="C23" s="6"/>
      <c r="H23" s="5"/>
    </row>
    <row r="24" spans="3:8" ht="15.75">
      <c r="C24" s="6"/>
      <c r="E24" s="4" t="s">
        <v>808</v>
      </c>
      <c r="F24" s="140"/>
      <c r="H24" s="5"/>
    </row>
    <row r="25" spans="3:8">
      <c r="C25" s="6"/>
      <c r="F25" s="128"/>
      <c r="H25" s="5"/>
    </row>
    <row r="26" spans="3:8" ht="16.5" customHeight="1">
      <c r="C26" s="6"/>
      <c r="D26" s="5"/>
      <c r="E26" s="112" t="s">
        <v>957</v>
      </c>
      <c r="F26" s="141"/>
      <c r="G26" s="6"/>
      <c r="H26" s="1"/>
    </row>
    <row r="27" spans="3:8">
      <c r="C27" s="130"/>
      <c r="D27" s="131"/>
      <c r="E27" s="129"/>
      <c r="F27" s="129"/>
      <c r="G27" s="135"/>
      <c r="H27" s="134"/>
    </row>
    <row r="28" spans="3:8">
      <c r="D28" s="131"/>
      <c r="E28" s="129"/>
      <c r="F28" s="129"/>
      <c r="G28" s="135"/>
      <c r="H28" s="134"/>
    </row>
    <row r="29" spans="3:8">
      <c r="C29" s="130"/>
      <c r="D29" s="131"/>
      <c r="E29" s="129"/>
      <c r="F29" s="129"/>
      <c r="G29" s="135"/>
      <c r="H29" s="134"/>
    </row>
    <row r="30" spans="3:8">
      <c r="D30" s="132"/>
      <c r="E30" s="133"/>
      <c r="F30" s="133"/>
      <c r="G30" s="136"/>
      <c r="H30" s="134"/>
    </row>
  </sheetData>
  <sheetProtection sheet="1" selectLockedCells="1"/>
  <mergeCells count="1">
    <mergeCell ref="D7:G10"/>
  </mergeCells>
  <dataValidations count="2">
    <dataValidation type="custom" allowBlank="1" showInputMessage="1" showErrorMessage="1" sqref="F20" xr:uid="{B94DFE98-2005-4EFA-8AA3-0E0E634E5882}">
      <formula1>NOW()</formula1>
    </dataValidation>
    <dataValidation type="date" allowBlank="1" showInputMessage="1" showErrorMessage="1" sqref="F22" xr:uid="{3EA02F91-18A1-48E6-A63C-AE397F009F05}">
      <formula1>45292</formula1>
      <formula2>47848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F1EE50-84B6-4B58-A775-959A13D31EB0}">
          <x14:formula1>
            <xm:f>Vendedores!$B$7:$B$1048576</xm:f>
          </x14:formula1>
          <xm:sqref>F24</xm:sqref>
        </x14:dataValidation>
        <x14:dataValidation type="list" allowBlank="1" showInputMessage="1" showErrorMessage="1" xr:uid="{E67D73AC-0256-4D36-B511-EB5ECD139433}">
          <x14:formula1>
            <xm:f>Clientes!$B$7:$B$1048576</xm:f>
          </x14:formula1>
          <xm:sqref>F16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55083-319D-41FB-96F1-B72DFEE5FAAD}">
  <sheetPr codeName="Planilha11"/>
  <dimension ref="L5:AD40"/>
  <sheetViews>
    <sheetView topLeftCell="D4" zoomScale="110" zoomScaleNormal="110" workbookViewId="0">
      <selection activeCell="V31" sqref="V31:Z31"/>
    </sheetView>
  </sheetViews>
  <sheetFormatPr defaultRowHeight="15"/>
  <cols>
    <col min="1" max="21" width="9.140625" style="69"/>
    <col min="22" max="22" width="10.85546875" style="69" bestFit="1" customWidth="1"/>
    <col min="23" max="16384" width="9.140625" style="69"/>
  </cols>
  <sheetData>
    <row r="5" spans="12:27" ht="15" customHeight="1">
      <c r="L5" s="70"/>
      <c r="M5" s="71"/>
      <c r="N5" s="71"/>
      <c r="O5" s="71"/>
      <c r="P5" s="72"/>
      <c r="Q5" s="73"/>
      <c r="R5" s="73"/>
      <c r="S5" s="73"/>
      <c r="T5" s="73"/>
      <c r="U5" s="73"/>
      <c r="V5" s="73"/>
      <c r="W5" s="73"/>
      <c r="X5" s="73"/>
      <c r="Y5" s="73"/>
      <c r="Z5" s="73"/>
      <c r="AA5" s="74"/>
    </row>
    <row r="6" spans="12:27" ht="15" customHeight="1">
      <c r="L6" s="75"/>
      <c r="M6" s="76"/>
      <c r="N6" s="76"/>
      <c r="O6" s="76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8"/>
    </row>
    <row r="7" spans="12:27" ht="15" customHeight="1">
      <c r="L7" s="75"/>
      <c r="M7" s="76"/>
      <c r="N7" s="76"/>
      <c r="O7" s="76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8"/>
    </row>
    <row r="8" spans="12:27" ht="15" customHeight="1">
      <c r="L8" s="75"/>
      <c r="M8" s="76"/>
      <c r="N8" s="221" t="s">
        <v>947</v>
      </c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78"/>
    </row>
    <row r="9" spans="12:27" ht="15" customHeight="1">
      <c r="L9" s="75"/>
      <c r="M9" s="76"/>
      <c r="N9" s="221"/>
      <c r="O9" s="221"/>
      <c r="P9" s="221"/>
      <c r="Q9" s="221"/>
      <c r="R9" s="221"/>
      <c r="S9" s="221"/>
      <c r="T9" s="221"/>
      <c r="U9" s="221"/>
      <c r="V9" s="221"/>
      <c r="W9" s="221"/>
      <c r="X9" s="221"/>
      <c r="Y9" s="221"/>
      <c r="Z9" s="221"/>
      <c r="AA9" s="78"/>
    </row>
    <row r="10" spans="12:27" ht="15" customHeight="1">
      <c r="L10" s="75"/>
      <c r="M10" s="76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78"/>
    </row>
    <row r="11" spans="12:27" ht="15" customHeight="1">
      <c r="L11" s="75"/>
      <c r="M11" s="76"/>
      <c r="N11" s="76"/>
      <c r="O11" s="76"/>
      <c r="P11" s="76"/>
      <c r="Q11" s="76"/>
      <c r="R11" s="76"/>
      <c r="S11" s="76"/>
      <c r="T11" s="76"/>
      <c r="U11" s="79"/>
      <c r="V11" s="79"/>
      <c r="W11" s="79"/>
      <c r="X11" s="79"/>
      <c r="Y11" s="79"/>
      <c r="Z11" s="79"/>
      <c r="AA11" s="80"/>
    </row>
    <row r="12" spans="12:27" ht="15" customHeight="1">
      <c r="L12" s="75"/>
      <c r="M12" s="76"/>
      <c r="N12" s="76"/>
      <c r="O12" s="76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80"/>
    </row>
    <row r="13" spans="12:27" ht="15" customHeight="1">
      <c r="L13" s="75"/>
      <c r="M13" s="76"/>
      <c r="N13" s="76"/>
      <c r="O13" s="76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80"/>
    </row>
    <row r="14" spans="12:27" ht="15.75" customHeight="1">
      <c r="L14" s="75"/>
      <c r="M14" s="76"/>
      <c r="N14" s="76"/>
      <c r="O14" s="76"/>
      <c r="P14" s="79"/>
      <c r="Q14" s="228" t="s">
        <v>944</v>
      </c>
      <c r="R14" s="229"/>
      <c r="S14" s="229"/>
      <c r="T14" s="230"/>
      <c r="U14" s="79"/>
      <c r="V14" s="225"/>
      <c r="W14" s="226"/>
      <c r="X14" s="226"/>
      <c r="Y14" s="226"/>
      <c r="Z14" s="227"/>
      <c r="AA14" s="81"/>
    </row>
    <row r="15" spans="12:27" ht="3.75" customHeight="1">
      <c r="L15" s="75"/>
      <c r="M15" s="76"/>
      <c r="N15" s="76"/>
      <c r="O15" s="76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81"/>
    </row>
    <row r="16" spans="12:27" ht="3.75" customHeight="1">
      <c r="L16" s="75"/>
      <c r="M16" s="76"/>
      <c r="N16" s="76"/>
      <c r="O16" s="76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81"/>
    </row>
    <row r="17" spans="12:30" ht="15" customHeight="1">
      <c r="L17" s="75"/>
      <c r="M17" s="76"/>
      <c r="N17" s="76"/>
      <c r="O17" s="76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81"/>
    </row>
    <row r="18" spans="12:30" ht="15.75" customHeight="1">
      <c r="L18" s="75"/>
      <c r="M18" s="76"/>
      <c r="N18" s="76"/>
      <c r="O18" s="76"/>
      <c r="P18" s="79"/>
      <c r="Q18" s="231" t="s">
        <v>945</v>
      </c>
      <c r="R18" s="232"/>
      <c r="S18" s="232"/>
      <c r="T18" s="233"/>
      <c r="U18" s="79"/>
      <c r="V18" s="222" t="str">
        <f>IFERROR(INDEX(Produção!C:C, MATCH(V14, Produção!I:I, 0)), "Não encontrado")</f>
        <v>Não encontrado</v>
      </c>
      <c r="W18" s="223"/>
      <c r="X18" s="223"/>
      <c r="Y18" s="223"/>
      <c r="Z18" s="224"/>
      <c r="AA18" s="81"/>
    </row>
    <row r="19" spans="12:30" ht="4.5" customHeight="1">
      <c r="L19" s="75"/>
      <c r="M19" s="76"/>
      <c r="N19" s="76"/>
      <c r="O19" s="76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81"/>
      <c r="AB19" s="79"/>
      <c r="AC19" s="79"/>
      <c r="AD19" s="79"/>
    </row>
    <row r="20" spans="12:30" ht="15" customHeight="1">
      <c r="L20" s="75"/>
      <c r="M20" s="76"/>
      <c r="N20" s="76"/>
      <c r="O20" s="76"/>
      <c r="P20" s="79"/>
      <c r="Q20" s="76"/>
      <c r="R20" s="76"/>
      <c r="S20" s="76"/>
      <c r="T20" s="76"/>
      <c r="U20" s="79"/>
      <c r="V20" s="79"/>
      <c r="W20" s="79"/>
      <c r="X20" s="79"/>
      <c r="Y20" s="79"/>
      <c r="Z20" s="79"/>
      <c r="AA20" s="81"/>
      <c r="AB20" s="79"/>
      <c r="AC20" s="79"/>
      <c r="AD20" s="79"/>
    </row>
    <row r="21" spans="12:30" ht="15.75" customHeight="1">
      <c r="L21" s="75"/>
      <c r="M21" s="76"/>
      <c r="N21" s="76"/>
      <c r="O21" s="76"/>
      <c r="P21" s="79"/>
      <c r="Q21" s="231" t="s">
        <v>949</v>
      </c>
      <c r="R21" s="232"/>
      <c r="S21" s="232"/>
      <c r="T21" s="233"/>
      <c r="U21" s="79"/>
      <c r="V21" s="222" t="str">
        <f>IFERROR(INDEX(Produção!B:B, MATCH(V14, Produção!I:I, 0)), "Não encontrado")</f>
        <v>Não encontrado</v>
      </c>
      <c r="W21" s="234"/>
      <c r="X21" s="234"/>
      <c r="Y21" s="234"/>
      <c r="Z21" s="235"/>
      <c r="AA21" s="81"/>
      <c r="AB21" s="79"/>
      <c r="AC21" s="79"/>
      <c r="AD21" s="79"/>
    </row>
    <row r="22" spans="12:30" ht="3.75" customHeight="1">
      <c r="L22" s="75"/>
      <c r="M22" s="76"/>
      <c r="N22" s="76"/>
      <c r="O22" s="76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81"/>
      <c r="AB22" s="79"/>
      <c r="AC22" s="79"/>
      <c r="AD22" s="79"/>
    </row>
    <row r="23" spans="12:30" ht="15" customHeight="1">
      <c r="L23" s="75"/>
      <c r="M23" s="76"/>
      <c r="N23" s="76"/>
      <c r="O23" s="76"/>
      <c r="P23" s="79"/>
      <c r="Q23" s="76"/>
      <c r="R23" s="76"/>
      <c r="S23" s="76"/>
      <c r="T23" s="76"/>
      <c r="U23" s="79"/>
      <c r="V23" s="79"/>
      <c r="W23" s="79"/>
      <c r="X23" s="79"/>
      <c r="Y23" s="79"/>
      <c r="Z23" s="79"/>
      <c r="AA23" s="81"/>
      <c r="AB23" s="79"/>
      <c r="AC23" s="79"/>
      <c r="AD23" s="79"/>
    </row>
    <row r="24" spans="12:30" ht="15.75" customHeight="1">
      <c r="L24" s="75"/>
      <c r="M24" s="76"/>
      <c r="N24" s="76"/>
      <c r="O24" s="76"/>
      <c r="P24" s="79"/>
      <c r="Q24" s="231" t="s">
        <v>950</v>
      </c>
      <c r="R24" s="232"/>
      <c r="S24" s="232"/>
      <c r="T24" s="233"/>
      <c r="V24" s="231" t="str">
        <f>IFERROR(INDEX(Produção!E:E, MATCH(V14, Produção!I:I, 0)), "Não encontrado")</f>
        <v>Não encontrado</v>
      </c>
      <c r="W24" s="232"/>
      <c r="X24" s="232"/>
      <c r="Y24" s="232"/>
      <c r="Z24" s="233"/>
      <c r="AA24" s="80"/>
      <c r="AB24" s="79"/>
      <c r="AC24" s="79"/>
      <c r="AD24" s="79"/>
    </row>
    <row r="25" spans="12:30" ht="3" customHeight="1">
      <c r="L25" s="75"/>
      <c r="M25" s="76"/>
      <c r="N25" s="76"/>
      <c r="O25" s="76"/>
      <c r="P25" s="79"/>
      <c r="AA25" s="80"/>
    </row>
    <row r="26" spans="12:30" ht="15" customHeight="1">
      <c r="L26" s="75"/>
      <c r="M26" s="76"/>
      <c r="N26" s="76"/>
      <c r="O26" s="76"/>
      <c r="P26" s="79"/>
      <c r="AA26" s="80"/>
    </row>
    <row r="27" spans="12:30" ht="15" customHeight="1">
      <c r="L27" s="75"/>
      <c r="M27" s="76"/>
      <c r="N27" s="76"/>
      <c r="O27" s="76"/>
      <c r="P27" s="79"/>
      <c r="V27" s="198">
        <f ca="1">TODAY()</f>
        <v>45579</v>
      </c>
      <c r="W27" s="199" t="str">
        <f>IFERROR(INDEX(Produção!H:H, MATCH(V14, Produção!I:I, 0)), "Não encontrado")</f>
        <v>Não encontrado</v>
      </c>
      <c r="AA27" s="80"/>
    </row>
    <row r="28" spans="12:30" ht="15" customHeight="1">
      <c r="L28" s="75"/>
      <c r="M28" s="76"/>
      <c r="N28" s="76"/>
      <c r="O28" s="76"/>
      <c r="P28" s="79"/>
      <c r="Q28" s="228" t="s">
        <v>946</v>
      </c>
      <c r="R28" s="229"/>
      <c r="S28" s="229"/>
      <c r="T28" s="230"/>
      <c r="U28" s="79"/>
      <c r="V28" s="218"/>
      <c r="W28" s="219"/>
      <c r="X28" s="219"/>
      <c r="Y28" s="219"/>
      <c r="Z28" s="220"/>
      <c r="AA28" s="80"/>
    </row>
    <row r="29" spans="12:30" ht="15" customHeight="1">
      <c r="L29" s="75"/>
      <c r="M29" s="76"/>
      <c r="N29" s="76"/>
      <c r="O29" s="76"/>
      <c r="P29" s="76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81"/>
    </row>
    <row r="30" spans="12:30" ht="15" customHeight="1">
      <c r="L30" s="75"/>
      <c r="M30" s="76"/>
      <c r="N30" s="76"/>
      <c r="O30" s="76"/>
      <c r="P30" s="76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81"/>
    </row>
    <row r="31" spans="12:30" ht="15" customHeight="1">
      <c r="L31" s="75"/>
      <c r="M31" s="76"/>
      <c r="N31" s="76"/>
      <c r="O31" s="76"/>
      <c r="P31" s="76"/>
      <c r="Q31" s="228" t="s">
        <v>948</v>
      </c>
      <c r="R31" s="229"/>
      <c r="S31" s="229"/>
      <c r="T31" s="230"/>
      <c r="U31" s="76"/>
      <c r="V31" s="218"/>
      <c r="W31" s="219"/>
      <c r="X31" s="219"/>
      <c r="Y31" s="219"/>
      <c r="Z31" s="220"/>
      <c r="AA31" s="81"/>
    </row>
    <row r="32" spans="12:30" ht="15" customHeight="1">
      <c r="L32" s="75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  <c r="AA32" s="81"/>
    </row>
    <row r="33" spans="12:27">
      <c r="L33" s="154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155"/>
    </row>
    <row r="34" spans="12:27">
      <c r="L34" s="154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155"/>
    </row>
    <row r="35" spans="12:27" ht="15.75">
      <c r="L35" s="154"/>
      <c r="M35" s="76"/>
      <c r="N35" s="76"/>
      <c r="O35" s="76"/>
      <c r="P35" s="76"/>
      <c r="Q35" s="215" t="s">
        <v>958</v>
      </c>
      <c r="R35" s="216"/>
      <c r="S35" s="216"/>
      <c r="T35" s="217"/>
      <c r="U35" s="76"/>
      <c r="V35" s="218"/>
      <c r="W35" s="219"/>
      <c r="X35" s="219"/>
      <c r="Y35" s="219"/>
      <c r="Z35" s="220"/>
      <c r="AA35" s="155"/>
    </row>
    <row r="36" spans="12:27">
      <c r="L36" s="154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155"/>
    </row>
    <row r="37" spans="12:27">
      <c r="L37" s="154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155"/>
    </row>
    <row r="38" spans="12:27">
      <c r="L38" s="154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155"/>
    </row>
    <row r="39" spans="12:27">
      <c r="L39" s="154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155"/>
    </row>
    <row r="40" spans="12:27">
      <c r="L40" s="156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  <c r="Z40" s="157"/>
      <c r="AA40" s="158"/>
    </row>
  </sheetData>
  <sheetProtection sheet="1" selectLockedCells="1"/>
  <mergeCells count="15">
    <mergeCell ref="Q35:T35"/>
    <mergeCell ref="V35:Z35"/>
    <mergeCell ref="N8:Z10"/>
    <mergeCell ref="V18:Z18"/>
    <mergeCell ref="V14:Z14"/>
    <mergeCell ref="Q14:T14"/>
    <mergeCell ref="Q18:T18"/>
    <mergeCell ref="Q31:T31"/>
    <mergeCell ref="V31:Z31"/>
    <mergeCell ref="V28:Z28"/>
    <mergeCell ref="V21:Z21"/>
    <mergeCell ref="Q21:T21"/>
    <mergeCell ref="Q28:T28"/>
    <mergeCell ref="Q24:T24"/>
    <mergeCell ref="V24:Z2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22C85-E98C-48AE-A093-4CEAF3586347}">
  <sheetPr codeName="Planilha6"/>
  <dimension ref="A1:Y254"/>
  <sheetViews>
    <sheetView topLeftCell="C1" zoomScale="115" zoomScaleNormal="115" workbookViewId="0">
      <selection activeCell="I14" sqref="I14"/>
    </sheetView>
  </sheetViews>
  <sheetFormatPr defaultRowHeight="15"/>
  <cols>
    <col min="1" max="1" width="11.140625" bestFit="1" customWidth="1"/>
    <col min="2" max="2" width="17.7109375" style="86" customWidth="1"/>
    <col min="3" max="3" width="44.28515625" style="86" customWidth="1"/>
    <col min="4" max="4" width="16.85546875" style="148" customWidth="1"/>
    <col min="5" max="5" width="37.5703125" style="86" customWidth="1"/>
    <col min="6" max="6" width="18.28515625" style="145" customWidth="1"/>
    <col min="7" max="7" width="17.42578125" style="86" customWidth="1"/>
    <col min="8" max="8" width="20" style="86" customWidth="1"/>
    <col min="9" max="9" width="18.42578125" style="86" customWidth="1"/>
    <col min="10" max="10" width="20.5703125" style="150" customWidth="1"/>
    <col min="11" max="11" width="13.7109375" style="143" customWidth="1"/>
    <col min="12" max="12" width="21.85546875" style="21" customWidth="1"/>
    <col min="13" max="13" width="13.140625" style="143" customWidth="1"/>
    <col min="14" max="14" width="17.7109375" style="21" customWidth="1"/>
    <col min="15" max="15" width="17.5703125" style="18" customWidth="1"/>
    <col min="16" max="16" width="41.28515625" style="146" customWidth="1"/>
    <col min="17" max="17" width="25.140625" style="148" customWidth="1"/>
    <col min="18" max="18" width="21.28515625" customWidth="1"/>
    <col min="19" max="19" width="30.7109375" style="113" customWidth="1"/>
    <col min="20" max="20" width="20.7109375" style="114" customWidth="1"/>
    <col min="21" max="21" width="19.5703125" style="116" customWidth="1"/>
    <col min="22" max="22" width="23.85546875" style="145" customWidth="1"/>
    <col min="23" max="23" width="31.5703125" style="145" customWidth="1"/>
    <col min="24" max="24" width="28.42578125" style="145" customWidth="1"/>
    <col min="25" max="25" width="13.42578125" style="143" customWidth="1"/>
  </cols>
  <sheetData>
    <row r="1" spans="1:25">
      <c r="A1" s="196">
        <v>45579</v>
      </c>
      <c r="J1" s="152"/>
      <c r="S1" s="83"/>
      <c r="T1" s="82"/>
      <c r="U1" s="67"/>
    </row>
    <row r="2" spans="1:25">
      <c r="J2" s="152"/>
      <c r="S2" s="20"/>
      <c r="T2" s="82"/>
      <c r="U2" s="67"/>
    </row>
    <row r="3" spans="1:25">
      <c r="J3" s="160"/>
      <c r="K3" s="161"/>
      <c r="L3" s="159"/>
      <c r="M3" s="161"/>
      <c r="N3" s="159"/>
      <c r="O3" s="162"/>
      <c r="S3" s="20"/>
      <c r="T3" s="82"/>
      <c r="U3" s="67"/>
    </row>
    <row r="4" spans="1:25">
      <c r="J4" s="160"/>
      <c r="K4" s="161"/>
      <c r="L4" s="159"/>
      <c r="M4" s="161"/>
      <c r="N4" s="159"/>
      <c r="O4" s="162"/>
      <c r="S4" s="20"/>
      <c r="T4" s="82"/>
      <c r="U4" s="67"/>
    </row>
    <row r="5" spans="1:25">
      <c r="J5" s="160"/>
      <c r="K5" s="161"/>
      <c r="L5" s="159"/>
      <c r="M5" s="161"/>
      <c r="N5" s="159"/>
      <c r="O5" s="162"/>
      <c r="S5" s="20"/>
      <c r="T5" s="82"/>
      <c r="U5" s="67"/>
    </row>
    <row r="6" spans="1:25">
      <c r="J6" s="152"/>
      <c r="S6" s="20"/>
      <c r="T6" s="82"/>
      <c r="U6" s="67"/>
    </row>
    <row r="7" spans="1:25">
      <c r="J7" s="152"/>
      <c r="S7" s="20"/>
      <c r="T7" s="82"/>
      <c r="U7" s="67"/>
    </row>
    <row r="8" spans="1:25" ht="15.75">
      <c r="B8" s="174" t="s">
        <v>189</v>
      </c>
      <c r="C8" s="174" t="s">
        <v>1</v>
      </c>
      <c r="D8" s="175" t="s">
        <v>823</v>
      </c>
      <c r="E8" s="174" t="s">
        <v>0</v>
      </c>
      <c r="F8" s="176" t="s">
        <v>913</v>
      </c>
      <c r="G8" s="174" t="s">
        <v>806</v>
      </c>
      <c r="H8" s="174" t="s">
        <v>821</v>
      </c>
      <c r="I8" s="174" t="s">
        <v>955</v>
      </c>
      <c r="J8" s="163" t="s">
        <v>910</v>
      </c>
      <c r="K8" s="164" t="s">
        <v>912</v>
      </c>
      <c r="L8" s="165" t="s">
        <v>966</v>
      </c>
      <c r="M8" s="166" t="s">
        <v>822</v>
      </c>
      <c r="N8" s="165" t="s">
        <v>825</v>
      </c>
      <c r="O8" s="167" t="s">
        <v>824</v>
      </c>
      <c r="P8" s="168" t="s">
        <v>826</v>
      </c>
      <c r="Q8" s="169" t="s">
        <v>911</v>
      </c>
      <c r="R8" s="170" t="s">
        <v>969</v>
      </c>
      <c r="S8" s="171" t="s">
        <v>940</v>
      </c>
      <c r="T8" s="172" t="s">
        <v>965</v>
      </c>
      <c r="U8" s="173" t="s">
        <v>943</v>
      </c>
      <c r="V8" s="176" t="s">
        <v>963</v>
      </c>
      <c r="W8" s="176" t="s">
        <v>962</v>
      </c>
      <c r="X8" s="193" t="s">
        <v>964</v>
      </c>
      <c r="Y8" s="195" t="s">
        <v>968</v>
      </c>
    </row>
    <row r="9" spans="1:25">
      <c r="A9" s="85"/>
      <c r="B9" s="86">
        <f>VLOOKUP(C9,Produtos!B7:D1048576,2,FALSE)</f>
        <v>433112</v>
      </c>
      <c r="C9" s="86" t="s">
        <v>843</v>
      </c>
      <c r="D9" s="148">
        <f>VLOOKUP(C9,Produtos!B7:D1048576,3,FALSE)</f>
        <v>687</v>
      </c>
      <c r="E9" s="86" t="s">
        <v>49</v>
      </c>
      <c r="F9" s="145">
        <v>44927</v>
      </c>
      <c r="H9" s="86" t="s">
        <v>812</v>
      </c>
      <c r="I9" s="86">
        <v>323134</v>
      </c>
      <c r="J9" s="151" t="s">
        <v>971</v>
      </c>
      <c r="K9" s="107">
        <v>2000</v>
      </c>
      <c r="L9" s="87"/>
      <c r="M9" s="107">
        <v>2000</v>
      </c>
      <c r="N9" s="87">
        <v>250</v>
      </c>
      <c r="O9" s="106"/>
      <c r="P9" s="105"/>
      <c r="Q9" s="104">
        <v>1374000</v>
      </c>
      <c r="R9" s="108">
        <f t="shared" ref="R9:R18" ca="1" si="0">IF(M9=0,"",IF(W9="",0,TODAY()-W9))</f>
        <v>4</v>
      </c>
      <c r="S9" s="115"/>
      <c r="U9" s="116">
        <f t="shared" ref="U9:U18" si="1">IF(N9-L9&lt;0,0,N9-L9)</f>
        <v>250</v>
      </c>
      <c r="W9" s="145">
        <v>45575</v>
      </c>
      <c r="X9" s="192" t="s">
        <v>973</v>
      </c>
      <c r="Y9" s="143">
        <f t="shared" ref="Y9:Y18" ca="1" si="2">IF(M9=0,"",IF(F9="",0,TODAY()-INT(F9)))</f>
        <v>652</v>
      </c>
    </row>
    <row r="10" spans="1:25">
      <c r="A10" s="85"/>
      <c r="B10" s="86">
        <f>VLOOKUP(C10,Produtos!B7:D1048576,2,FALSE)</f>
        <v>434104</v>
      </c>
      <c r="C10" s="86" t="s">
        <v>862</v>
      </c>
      <c r="D10" s="148">
        <f>VLOOKUP(C10,Produtos!B7:D1048576,3,FALSE)</f>
        <v>667</v>
      </c>
      <c r="E10" s="86" t="s">
        <v>77</v>
      </c>
      <c r="F10" s="145">
        <v>45331</v>
      </c>
      <c r="H10" s="86" t="s">
        <v>810</v>
      </c>
      <c r="I10" s="86">
        <v>333233</v>
      </c>
      <c r="J10" s="151" t="s">
        <v>972</v>
      </c>
      <c r="K10" s="107">
        <v>400</v>
      </c>
      <c r="L10" s="87">
        <v>202</v>
      </c>
      <c r="M10" s="107">
        <v>198</v>
      </c>
      <c r="N10" s="87">
        <v>333</v>
      </c>
      <c r="O10" s="106"/>
      <c r="P10" s="105"/>
      <c r="Q10" s="104">
        <v>266800</v>
      </c>
      <c r="R10" s="108">
        <f t="shared" ca="1" si="0"/>
        <v>0</v>
      </c>
      <c r="T10" s="114">
        <v>2</v>
      </c>
      <c r="U10" s="116">
        <f t="shared" si="1"/>
        <v>131</v>
      </c>
      <c r="V10" s="145">
        <v>45579</v>
      </c>
      <c r="W10" s="145">
        <v>45579</v>
      </c>
      <c r="X10" s="145" t="s">
        <v>981</v>
      </c>
      <c r="Y10" s="143">
        <f t="shared" ca="1" si="2"/>
        <v>248</v>
      </c>
    </row>
    <row r="11" spans="1:25">
      <c r="A11" s="85"/>
      <c r="B11" s="86">
        <f>VLOOKUP(C11,Produtos!B7:D1048576,2,FALSE)</f>
        <v>512106</v>
      </c>
      <c r="C11" s="86" t="s">
        <v>776</v>
      </c>
      <c r="D11" s="148">
        <f>VLOOKUP(C11,Produtos!B7:D1048576,3,FALSE)</f>
        <v>595</v>
      </c>
      <c r="E11" s="86" t="s">
        <v>12</v>
      </c>
      <c r="F11" s="145">
        <v>45341</v>
      </c>
      <c r="H11" s="86" t="s">
        <v>820</v>
      </c>
      <c r="I11" s="86">
        <v>434452</v>
      </c>
      <c r="J11" s="151" t="s">
        <v>972</v>
      </c>
      <c r="K11" s="107">
        <v>400</v>
      </c>
      <c r="L11" s="87">
        <v>10</v>
      </c>
      <c r="M11" s="107">
        <v>390</v>
      </c>
      <c r="N11" s="87">
        <v>500</v>
      </c>
      <c r="O11" s="106"/>
      <c r="P11" s="105"/>
      <c r="Q11" s="104">
        <v>238000</v>
      </c>
      <c r="R11" s="108">
        <f t="shared" ca="1" si="0"/>
        <v>1</v>
      </c>
      <c r="U11" s="116">
        <f t="shared" si="1"/>
        <v>490</v>
      </c>
      <c r="V11" s="145">
        <v>45579</v>
      </c>
      <c r="W11" s="145">
        <v>45578</v>
      </c>
      <c r="X11" s="145" t="s">
        <v>979</v>
      </c>
      <c r="Y11" s="143">
        <f t="shared" ca="1" si="2"/>
        <v>238</v>
      </c>
    </row>
    <row r="12" spans="1:25">
      <c r="A12" s="85"/>
      <c r="B12" s="86">
        <f>VLOOKUP(C12,Produtos!B7:D1048576,2,FALSE)</f>
        <v>512109</v>
      </c>
      <c r="C12" s="86" t="s">
        <v>787</v>
      </c>
      <c r="D12" s="148">
        <f>VLOOKUP(C12,Produtos!B7:D1048576,3,FALSE)</f>
        <v>606</v>
      </c>
      <c r="E12" s="86" t="s">
        <v>26</v>
      </c>
      <c r="F12" s="145">
        <v>45402</v>
      </c>
      <c r="H12" s="86" t="s">
        <v>820</v>
      </c>
      <c r="I12" s="86">
        <v>656843</v>
      </c>
      <c r="J12" s="151" t="s">
        <v>970</v>
      </c>
      <c r="K12" s="107">
        <v>300</v>
      </c>
      <c r="L12" s="87"/>
      <c r="M12" s="107">
        <v>0</v>
      </c>
      <c r="N12" s="87">
        <v>0</v>
      </c>
      <c r="O12" s="106"/>
      <c r="P12" s="105"/>
      <c r="Q12" s="104">
        <v>181800</v>
      </c>
      <c r="R12" s="108" t="str">
        <f t="shared" ca="1" si="0"/>
        <v/>
      </c>
      <c r="U12" s="116">
        <f t="shared" si="1"/>
        <v>0</v>
      </c>
      <c r="V12" s="145">
        <v>45575</v>
      </c>
      <c r="W12" s="145">
        <v>45574</v>
      </c>
      <c r="X12" s="145">
        <v>45646</v>
      </c>
      <c r="Y12" s="143" t="str">
        <f t="shared" ca="1" si="2"/>
        <v/>
      </c>
    </row>
    <row r="13" spans="1:25">
      <c r="A13" s="85"/>
      <c r="B13" s="86">
        <f>VLOOKUP(C13,Produtos!B7:D1048576,2,FALSE)</f>
        <v>514105</v>
      </c>
      <c r="C13" s="86" t="s">
        <v>774</v>
      </c>
      <c r="D13" s="148">
        <f>VLOOKUP(C13,Produtos!B7:D1048576,3,FALSE)</f>
        <v>593</v>
      </c>
      <c r="E13" s="86" t="s">
        <v>178</v>
      </c>
      <c r="F13" s="145">
        <v>45574</v>
      </c>
      <c r="H13" s="86" t="s">
        <v>819</v>
      </c>
      <c r="I13" s="86">
        <v>547834</v>
      </c>
      <c r="J13" s="151" t="s">
        <v>967</v>
      </c>
      <c r="K13" s="107">
        <v>23</v>
      </c>
      <c r="L13" s="87"/>
      <c r="M13" s="107">
        <v>23</v>
      </c>
      <c r="N13" s="87"/>
      <c r="O13" s="106"/>
      <c r="P13" s="105"/>
      <c r="Q13" s="104">
        <v>13639</v>
      </c>
      <c r="R13" s="108">
        <f t="shared" ca="1" si="0"/>
        <v>0</v>
      </c>
      <c r="U13" s="116">
        <f t="shared" si="1"/>
        <v>0</v>
      </c>
      <c r="Y13" s="143">
        <f t="shared" ca="1" si="2"/>
        <v>5</v>
      </c>
    </row>
    <row r="14" spans="1:25">
      <c r="A14" s="85"/>
      <c r="B14" s="86">
        <f>VLOOKUP(C14,Produtos!B7:D1048576,2,FALSE)</f>
        <v>614579</v>
      </c>
      <c r="C14" s="86" t="s">
        <v>298</v>
      </c>
      <c r="D14" s="148">
        <f>VLOOKUP(C14,Produtos!B7:D1048576,3,FALSE)</f>
        <v>109</v>
      </c>
      <c r="E14" s="86" t="s">
        <v>50</v>
      </c>
      <c r="F14" s="145">
        <v>45575</v>
      </c>
      <c r="H14" s="86" t="s">
        <v>814</v>
      </c>
      <c r="I14" s="86">
        <v>456345</v>
      </c>
      <c r="J14" s="151" t="s">
        <v>972</v>
      </c>
      <c r="K14" s="107">
        <v>200</v>
      </c>
      <c r="L14" s="87">
        <v>9</v>
      </c>
      <c r="M14" s="107">
        <v>191</v>
      </c>
      <c r="N14" s="87">
        <v>30</v>
      </c>
      <c r="O14" s="106"/>
      <c r="P14" s="105"/>
      <c r="Q14" s="104">
        <v>21800</v>
      </c>
      <c r="R14" s="108">
        <f t="shared" ca="1" si="0"/>
        <v>0</v>
      </c>
      <c r="T14" s="114">
        <v>2</v>
      </c>
      <c r="U14" s="116">
        <f t="shared" si="1"/>
        <v>21</v>
      </c>
      <c r="V14" s="145">
        <v>45579</v>
      </c>
      <c r="W14" s="145">
        <v>45579</v>
      </c>
      <c r="X14" s="145" t="s">
        <v>981</v>
      </c>
      <c r="Y14" s="143">
        <f t="shared" ca="1" si="2"/>
        <v>4</v>
      </c>
    </row>
    <row r="15" spans="1:25">
      <c r="A15" s="85"/>
      <c r="B15" s="86">
        <f>VLOOKUP(C15,Produtos!B7:D1048576,2,FALSE)</f>
        <v>611423</v>
      </c>
      <c r="C15" s="86" t="s">
        <v>341</v>
      </c>
      <c r="D15" s="148">
        <f>VLOOKUP(C15,Produtos!B7:D1048576,3,FALSE)</f>
        <v>153</v>
      </c>
      <c r="E15" s="86" t="s">
        <v>78</v>
      </c>
      <c r="F15" s="145">
        <v>45575</v>
      </c>
      <c r="H15" s="86" t="s">
        <v>816</v>
      </c>
      <c r="I15" s="86">
        <v>973842</v>
      </c>
      <c r="J15" s="151" t="s">
        <v>972</v>
      </c>
      <c r="K15" s="107">
        <v>400</v>
      </c>
      <c r="L15" s="87">
        <v>21</v>
      </c>
      <c r="M15" s="107">
        <v>379</v>
      </c>
      <c r="N15" s="87">
        <v>0</v>
      </c>
      <c r="O15" s="106"/>
      <c r="P15" s="105"/>
      <c r="Q15" s="104">
        <v>61200</v>
      </c>
      <c r="R15" s="108">
        <f t="shared" ca="1" si="0"/>
        <v>0</v>
      </c>
      <c r="U15" s="116">
        <f t="shared" si="1"/>
        <v>0</v>
      </c>
      <c r="V15" s="194">
        <v>45579</v>
      </c>
      <c r="Y15" s="143">
        <f t="shared" ca="1" si="2"/>
        <v>4</v>
      </c>
    </row>
    <row r="16" spans="1:25">
      <c r="A16" s="85"/>
      <c r="B16" s="86">
        <f>VLOOKUP(C16,Produtos!B7:D1048576,2,FALSE)</f>
        <v>611377</v>
      </c>
      <c r="C16" s="86" t="s">
        <v>318</v>
      </c>
      <c r="D16" s="148">
        <f>VLOOKUP(C16,Produtos!B7:D1048576,3,FALSE)</f>
        <v>129</v>
      </c>
      <c r="E16" s="86" t="s">
        <v>19</v>
      </c>
      <c r="F16" s="145">
        <v>45575</v>
      </c>
      <c r="H16" s="86" t="s">
        <v>811</v>
      </c>
      <c r="I16" s="86">
        <v>874933</v>
      </c>
      <c r="J16" s="151" t="s">
        <v>971</v>
      </c>
      <c r="K16" s="107">
        <v>600</v>
      </c>
      <c r="L16" s="87">
        <v>0</v>
      </c>
      <c r="M16" s="107">
        <v>600</v>
      </c>
      <c r="N16" s="87">
        <v>110</v>
      </c>
      <c r="O16" s="106"/>
      <c r="P16" s="105"/>
      <c r="Q16" s="104">
        <v>77400</v>
      </c>
      <c r="R16" s="108">
        <f t="shared" ca="1" si="0"/>
        <v>1</v>
      </c>
      <c r="U16" s="116">
        <f t="shared" si="1"/>
        <v>110</v>
      </c>
      <c r="V16" s="145">
        <v>45576</v>
      </c>
      <c r="W16" s="145">
        <v>45578</v>
      </c>
      <c r="X16" s="145" t="s">
        <v>979</v>
      </c>
      <c r="Y16" s="143">
        <f t="shared" ca="1" si="2"/>
        <v>4</v>
      </c>
    </row>
    <row r="17" spans="1:25">
      <c r="A17" s="85"/>
      <c r="B17" s="86">
        <f>VLOOKUP(C17,Produtos!B7:D1048576,2,FALSE)</f>
        <v>614390</v>
      </c>
      <c r="C17" s="86" t="s">
        <v>393</v>
      </c>
      <c r="D17" s="148">
        <f>VLOOKUP(C17,Produtos!B7:D1048576,3,FALSE)</f>
        <v>205</v>
      </c>
      <c r="E17" s="86" t="s">
        <v>164</v>
      </c>
      <c r="F17" s="145">
        <v>45575</v>
      </c>
      <c r="H17" s="86" t="s">
        <v>810</v>
      </c>
      <c r="I17" s="86">
        <v>344624</v>
      </c>
      <c r="J17" s="151" t="s">
        <v>971</v>
      </c>
      <c r="K17" s="107">
        <v>100</v>
      </c>
      <c r="L17" s="87"/>
      <c r="M17" s="107">
        <v>100</v>
      </c>
      <c r="N17" s="87">
        <v>2</v>
      </c>
      <c r="O17" s="106"/>
      <c r="P17" s="105"/>
      <c r="Q17" s="104">
        <v>20500</v>
      </c>
      <c r="R17" s="108">
        <f t="shared" ca="1" si="0"/>
        <v>3</v>
      </c>
      <c r="U17" s="116">
        <f t="shared" si="1"/>
        <v>2</v>
      </c>
      <c r="V17" s="145">
        <v>45576</v>
      </c>
      <c r="W17" s="145">
        <v>45576</v>
      </c>
      <c r="X17" s="145" t="s">
        <v>974</v>
      </c>
      <c r="Y17" s="143">
        <f t="shared" ca="1" si="2"/>
        <v>4</v>
      </c>
    </row>
    <row r="18" spans="1:25">
      <c r="A18" s="85"/>
      <c r="B18" s="86">
        <f>VLOOKUP(C18,Produtos!B7:D1048576,2,FALSE)</f>
        <v>611783</v>
      </c>
      <c r="C18" s="86" t="s">
        <v>384</v>
      </c>
      <c r="D18" s="148">
        <f>VLOOKUP(C18,Produtos!B7:D1048576,3,FALSE)</f>
        <v>196</v>
      </c>
      <c r="E18" s="86" t="s">
        <v>178</v>
      </c>
      <c r="F18" s="145">
        <v>45575</v>
      </c>
      <c r="H18" s="86" t="s">
        <v>816</v>
      </c>
      <c r="I18" s="86">
        <v>7488596</v>
      </c>
      <c r="J18" s="151" t="s">
        <v>972</v>
      </c>
      <c r="K18" s="107">
        <v>200</v>
      </c>
      <c r="L18" s="87">
        <v>19</v>
      </c>
      <c r="M18" s="107">
        <v>181</v>
      </c>
      <c r="N18" s="87">
        <v>104</v>
      </c>
      <c r="O18" s="106"/>
      <c r="P18" s="105"/>
      <c r="Q18" s="104">
        <v>39200</v>
      </c>
      <c r="R18" s="108">
        <f t="shared" ca="1" si="0"/>
        <v>1</v>
      </c>
      <c r="U18" s="116">
        <f t="shared" si="1"/>
        <v>85</v>
      </c>
      <c r="V18" s="145">
        <v>45579</v>
      </c>
      <c r="W18" s="145">
        <v>45578</v>
      </c>
      <c r="X18" s="145" t="s">
        <v>979</v>
      </c>
      <c r="Y18" s="143">
        <f t="shared" ca="1" si="2"/>
        <v>4</v>
      </c>
    </row>
    <row r="19" spans="1:25">
      <c r="A19" s="85"/>
      <c r="J19" s="151"/>
      <c r="K19" s="107"/>
      <c r="L19" s="87"/>
      <c r="M19" s="107"/>
      <c r="N19" s="87"/>
      <c r="O19" s="106"/>
      <c r="P19" s="105"/>
      <c r="Q19" s="104"/>
      <c r="R19" s="108"/>
    </row>
    <row r="20" spans="1:25">
      <c r="A20" s="85"/>
      <c r="J20" s="151"/>
      <c r="K20" s="107"/>
      <c r="L20" s="87"/>
      <c r="M20" s="107"/>
      <c r="N20" s="87"/>
      <c r="O20" s="106"/>
      <c r="P20" s="105"/>
      <c r="Q20" s="104"/>
      <c r="R20" s="108"/>
    </row>
    <row r="21" spans="1:25">
      <c r="A21" s="85"/>
      <c r="J21" s="151"/>
      <c r="K21" s="107"/>
      <c r="L21" s="87"/>
      <c r="M21" s="107"/>
      <c r="N21" s="87"/>
      <c r="O21" s="106"/>
      <c r="P21" s="105"/>
      <c r="Q21" s="104"/>
      <c r="R21" s="108"/>
    </row>
    <row r="22" spans="1:25">
      <c r="A22" s="85"/>
      <c r="J22" s="151"/>
      <c r="K22" s="107"/>
      <c r="L22" s="87"/>
      <c r="M22" s="107"/>
      <c r="N22" s="87"/>
      <c r="O22" s="106"/>
      <c r="P22" s="105"/>
      <c r="Q22" s="104"/>
      <c r="R22" s="108"/>
    </row>
    <row r="23" spans="1:25">
      <c r="A23" s="85"/>
      <c r="J23" s="151"/>
      <c r="K23" s="107"/>
      <c r="L23" s="87"/>
      <c r="M23" s="107"/>
      <c r="N23" s="87"/>
      <c r="O23" s="106"/>
      <c r="P23" s="105"/>
      <c r="Q23" s="104"/>
      <c r="R23" s="108"/>
    </row>
    <row r="24" spans="1:25">
      <c r="A24" s="85"/>
      <c r="J24" s="151"/>
      <c r="K24" s="107"/>
      <c r="L24" s="87"/>
      <c r="M24" s="107"/>
      <c r="N24" s="87"/>
      <c r="O24" s="106"/>
      <c r="P24" s="105"/>
      <c r="Q24" s="104"/>
      <c r="R24" s="108"/>
    </row>
    <row r="25" spans="1:25">
      <c r="A25" s="85"/>
      <c r="J25" s="151"/>
      <c r="K25" s="107"/>
      <c r="L25" s="87"/>
      <c r="M25" s="107"/>
      <c r="N25" s="87"/>
      <c r="O25" s="106"/>
      <c r="P25" s="105"/>
      <c r="Q25" s="104"/>
      <c r="R25" s="108"/>
    </row>
    <row r="26" spans="1:25">
      <c r="A26" s="85"/>
      <c r="J26" s="151"/>
      <c r="K26" s="107"/>
      <c r="L26" s="87"/>
      <c r="M26" s="107"/>
      <c r="N26" s="87"/>
      <c r="O26" s="106"/>
      <c r="P26" s="105"/>
      <c r="Q26" s="104"/>
      <c r="R26" s="108"/>
    </row>
    <row r="27" spans="1:25">
      <c r="A27" s="85"/>
      <c r="J27" s="151"/>
      <c r="K27" s="107"/>
      <c r="L27" s="87"/>
      <c r="M27" s="107"/>
      <c r="N27" s="87"/>
      <c r="O27" s="106"/>
      <c r="P27" s="105"/>
      <c r="Q27" s="104"/>
      <c r="R27" s="108"/>
    </row>
    <row r="28" spans="1:25">
      <c r="A28" s="85"/>
      <c r="J28" s="151"/>
      <c r="K28" s="107"/>
      <c r="L28" s="87"/>
      <c r="M28" s="107"/>
      <c r="N28" s="87"/>
      <c r="O28" s="106"/>
      <c r="P28" s="105"/>
      <c r="Q28" s="104"/>
      <c r="R28" s="108"/>
    </row>
    <row r="29" spans="1:25">
      <c r="A29" s="85"/>
      <c r="J29" s="151"/>
      <c r="K29" s="107"/>
      <c r="L29" s="87"/>
      <c r="M29" s="107"/>
      <c r="N29" s="87"/>
      <c r="O29" s="106"/>
      <c r="P29" s="105"/>
      <c r="Q29" s="104"/>
      <c r="R29" s="108"/>
    </row>
    <row r="30" spans="1:25">
      <c r="A30" s="85"/>
      <c r="J30" s="151"/>
      <c r="K30" s="107"/>
      <c r="L30" s="87"/>
      <c r="M30" s="107"/>
      <c r="N30" s="109"/>
      <c r="O30" s="106"/>
      <c r="P30" s="105"/>
      <c r="Q30" s="104"/>
      <c r="R30" s="108"/>
    </row>
    <row r="31" spans="1:25">
      <c r="A31" s="85"/>
      <c r="J31" s="151"/>
      <c r="K31" s="107"/>
      <c r="L31" s="87"/>
      <c r="M31" s="107"/>
      <c r="N31" s="87"/>
      <c r="O31" s="106"/>
      <c r="P31" s="105"/>
      <c r="Q31" s="104"/>
      <c r="R31" s="108"/>
    </row>
    <row r="32" spans="1:25">
      <c r="A32" s="85"/>
      <c r="J32" s="151"/>
      <c r="K32" s="107"/>
      <c r="L32" s="87"/>
      <c r="M32" s="107"/>
      <c r="N32" s="87"/>
      <c r="O32" s="106"/>
      <c r="P32" s="105"/>
      <c r="Q32" s="104"/>
      <c r="R32" s="108"/>
    </row>
    <row r="33" spans="1:18">
      <c r="A33" s="85"/>
      <c r="J33" s="151"/>
      <c r="K33" s="107"/>
      <c r="L33" s="87"/>
      <c r="M33" s="107"/>
      <c r="N33" s="109"/>
      <c r="O33" s="106"/>
      <c r="P33" s="105"/>
      <c r="Q33" s="104"/>
      <c r="R33" s="108"/>
    </row>
    <row r="34" spans="1:18">
      <c r="A34" s="85"/>
      <c r="J34" s="151"/>
      <c r="K34" s="107"/>
      <c r="L34" s="87"/>
      <c r="M34" s="107"/>
      <c r="N34" s="87"/>
      <c r="O34" s="106"/>
      <c r="P34" s="105"/>
      <c r="Q34" s="104"/>
      <c r="R34" s="108"/>
    </row>
    <row r="35" spans="1:18">
      <c r="A35" s="85"/>
      <c r="J35" s="151"/>
      <c r="K35" s="110"/>
      <c r="L35" s="87"/>
      <c r="M35" s="107"/>
      <c r="N35" s="87"/>
      <c r="O35" s="106"/>
      <c r="P35" s="105"/>
      <c r="Q35" s="104"/>
      <c r="R35" s="108"/>
    </row>
    <row r="36" spans="1:18">
      <c r="A36" s="85"/>
      <c r="J36" s="151"/>
      <c r="K36" s="107"/>
      <c r="L36" s="87"/>
      <c r="M36" s="107"/>
      <c r="N36" s="87"/>
      <c r="O36" s="106"/>
      <c r="P36" s="105"/>
      <c r="Q36" s="104"/>
      <c r="R36" s="108"/>
    </row>
    <row r="37" spans="1:18">
      <c r="A37" s="85"/>
      <c r="J37" s="151"/>
      <c r="K37" s="107"/>
      <c r="L37" s="87"/>
      <c r="M37" s="107"/>
      <c r="N37" s="87"/>
      <c r="O37" s="106"/>
      <c r="P37" s="105"/>
      <c r="Q37" s="104"/>
      <c r="R37" s="108"/>
    </row>
    <row r="38" spans="1:18">
      <c r="A38" s="85"/>
      <c r="J38" s="151"/>
      <c r="K38" s="107"/>
      <c r="L38" s="87"/>
      <c r="M38" s="107"/>
      <c r="N38" s="87"/>
      <c r="O38" s="106"/>
      <c r="P38" s="105"/>
      <c r="Q38" s="104"/>
      <c r="R38" s="108"/>
    </row>
    <row r="39" spans="1:18">
      <c r="A39" s="85"/>
      <c r="J39" s="151"/>
      <c r="K39" s="107"/>
      <c r="L39" s="87"/>
      <c r="M39" s="107"/>
      <c r="N39" s="87"/>
      <c r="O39" s="106"/>
      <c r="P39" s="105"/>
      <c r="Q39" s="104"/>
      <c r="R39" s="108"/>
    </row>
    <row r="40" spans="1:18">
      <c r="A40" s="85"/>
      <c r="J40" s="151"/>
      <c r="K40" s="107"/>
      <c r="L40" s="87"/>
      <c r="M40" s="107"/>
      <c r="N40" s="87"/>
      <c r="O40" s="106"/>
      <c r="P40" s="105"/>
      <c r="Q40" s="104"/>
      <c r="R40" s="108"/>
    </row>
    <row r="41" spans="1:18">
      <c r="A41" s="85"/>
      <c r="J41" s="151"/>
      <c r="K41" s="107"/>
      <c r="L41" s="87"/>
      <c r="M41" s="107"/>
      <c r="N41" s="87"/>
      <c r="O41" s="106"/>
      <c r="P41" s="105"/>
      <c r="Q41" s="104"/>
      <c r="R41" s="108"/>
    </row>
    <row r="42" spans="1:18">
      <c r="A42" s="85"/>
      <c r="J42" s="151"/>
      <c r="K42" s="107"/>
      <c r="L42" s="87"/>
      <c r="M42" s="107"/>
      <c r="N42" s="87"/>
      <c r="O42" s="106"/>
      <c r="P42" s="105"/>
      <c r="Q42" s="104"/>
      <c r="R42" s="108"/>
    </row>
    <row r="43" spans="1:18">
      <c r="A43" s="85"/>
      <c r="J43" s="151"/>
      <c r="K43" s="107"/>
      <c r="L43" s="87"/>
      <c r="M43" s="107"/>
      <c r="N43" s="87"/>
      <c r="O43" s="106"/>
      <c r="P43" s="105"/>
      <c r="Q43" s="104"/>
      <c r="R43" s="108"/>
    </row>
    <row r="44" spans="1:18">
      <c r="A44" s="85"/>
      <c r="J44" s="151"/>
      <c r="K44" s="107"/>
      <c r="L44" s="87"/>
      <c r="M44" s="107"/>
      <c r="N44" s="87"/>
      <c r="O44" s="106"/>
      <c r="P44" s="105"/>
      <c r="Q44" s="104"/>
      <c r="R44" s="108"/>
    </row>
    <row r="45" spans="1:18">
      <c r="A45" s="85"/>
      <c r="J45" s="151"/>
      <c r="K45" s="107"/>
      <c r="L45" s="87"/>
      <c r="M45" s="107"/>
      <c r="N45" s="87"/>
      <c r="O45" s="106"/>
      <c r="P45" s="105"/>
      <c r="Q45" s="104"/>
      <c r="R45" s="108"/>
    </row>
    <row r="46" spans="1:18">
      <c r="A46" s="1"/>
      <c r="J46" s="151"/>
      <c r="K46" s="144"/>
      <c r="L46" s="142"/>
      <c r="M46" s="144"/>
      <c r="N46" s="142"/>
      <c r="O46" s="111"/>
      <c r="P46" s="147"/>
      <c r="Q46" s="149"/>
      <c r="R46" s="108"/>
    </row>
    <row r="47" spans="1:18">
      <c r="A47" s="1"/>
      <c r="J47" s="151"/>
      <c r="K47" s="144"/>
      <c r="L47" s="142"/>
      <c r="M47" s="144"/>
      <c r="N47" s="142"/>
      <c r="O47" s="111"/>
      <c r="P47" s="147"/>
      <c r="Q47" s="149"/>
      <c r="R47" s="108"/>
    </row>
    <row r="48" spans="1:18">
      <c r="R48" s="108"/>
    </row>
    <row r="49" spans="13:18">
      <c r="R49" s="108"/>
    </row>
    <row r="50" spans="13:18">
      <c r="R50" s="108"/>
    </row>
    <row r="51" spans="13:18">
      <c r="R51" s="108"/>
    </row>
    <row r="52" spans="13:18">
      <c r="R52" s="108"/>
    </row>
    <row r="53" spans="13:18">
      <c r="R53" s="108"/>
    </row>
    <row r="54" spans="13:18">
      <c r="R54" s="108"/>
    </row>
    <row r="55" spans="13:18">
      <c r="M55" s="153"/>
      <c r="R55" s="108"/>
    </row>
    <row r="56" spans="13:18">
      <c r="R56" s="108"/>
    </row>
    <row r="57" spans="13:18">
      <c r="R57" s="108"/>
    </row>
    <row r="58" spans="13:18">
      <c r="R58" s="108"/>
    </row>
    <row r="59" spans="13:18">
      <c r="R59" s="108"/>
    </row>
    <row r="60" spans="13:18">
      <c r="R60" s="108"/>
    </row>
    <row r="61" spans="13:18">
      <c r="R61" s="108"/>
    </row>
    <row r="62" spans="13:18">
      <c r="R62" s="108"/>
    </row>
    <row r="63" spans="13:18">
      <c r="R63" s="108"/>
    </row>
    <row r="64" spans="13:18">
      <c r="R64" s="108"/>
    </row>
    <row r="65" spans="18:18">
      <c r="R65" s="108"/>
    </row>
    <row r="66" spans="18:18">
      <c r="R66" s="108"/>
    </row>
    <row r="67" spans="18:18">
      <c r="R67" s="108"/>
    </row>
    <row r="68" spans="18:18">
      <c r="R68" s="108"/>
    </row>
    <row r="69" spans="18:18">
      <c r="R69" s="108"/>
    </row>
    <row r="70" spans="18:18">
      <c r="R70" s="108"/>
    </row>
    <row r="71" spans="18:18">
      <c r="R71" s="108"/>
    </row>
    <row r="72" spans="18:18">
      <c r="R72" s="108"/>
    </row>
    <row r="73" spans="18:18">
      <c r="R73" s="108"/>
    </row>
    <row r="74" spans="18:18">
      <c r="R74" s="108"/>
    </row>
    <row r="75" spans="18:18">
      <c r="R75" s="108"/>
    </row>
    <row r="76" spans="18:18">
      <c r="R76" s="108"/>
    </row>
    <row r="77" spans="18:18">
      <c r="R77" s="108"/>
    </row>
    <row r="78" spans="18:18">
      <c r="R78" s="108"/>
    </row>
    <row r="79" spans="18:18">
      <c r="R79" s="108"/>
    </row>
    <row r="80" spans="18:18">
      <c r="R80" s="108"/>
    </row>
    <row r="81" spans="18:18">
      <c r="R81" s="108"/>
    </row>
    <row r="82" spans="18:18">
      <c r="R82" s="108"/>
    </row>
    <row r="83" spans="18:18">
      <c r="R83" s="108"/>
    </row>
    <row r="84" spans="18:18">
      <c r="R84" s="108"/>
    </row>
    <row r="85" spans="18:18">
      <c r="R85" s="108"/>
    </row>
    <row r="86" spans="18:18">
      <c r="R86" s="108"/>
    </row>
    <row r="87" spans="18:18">
      <c r="R87" s="108"/>
    </row>
    <row r="88" spans="18:18">
      <c r="R88" s="108"/>
    </row>
    <row r="89" spans="18:18">
      <c r="R89" s="108"/>
    </row>
    <row r="90" spans="18:18">
      <c r="R90" s="108"/>
    </row>
    <row r="91" spans="18:18">
      <c r="R91" s="108"/>
    </row>
    <row r="92" spans="18:18">
      <c r="R92" s="108"/>
    </row>
    <row r="93" spans="18:18">
      <c r="R93" s="108"/>
    </row>
    <row r="94" spans="18:18">
      <c r="R94" s="108"/>
    </row>
    <row r="95" spans="18:18">
      <c r="R95" s="108"/>
    </row>
    <row r="96" spans="18:18">
      <c r="R96" s="108"/>
    </row>
    <row r="97" spans="18:18">
      <c r="R97" s="108"/>
    </row>
    <row r="98" spans="18:18">
      <c r="R98" s="108"/>
    </row>
    <row r="99" spans="18:18">
      <c r="R99" s="108"/>
    </row>
    <row r="100" spans="18:18">
      <c r="R100" s="108"/>
    </row>
    <row r="101" spans="18:18">
      <c r="R101" s="108"/>
    </row>
    <row r="102" spans="18:18">
      <c r="R102" s="108"/>
    </row>
    <row r="103" spans="18:18">
      <c r="R103" s="108"/>
    </row>
    <row r="104" spans="18:18">
      <c r="R104" s="108"/>
    </row>
    <row r="105" spans="18:18">
      <c r="R105" s="108"/>
    </row>
    <row r="106" spans="18:18">
      <c r="R106" s="108"/>
    </row>
    <row r="107" spans="18:18">
      <c r="R107" s="108"/>
    </row>
    <row r="108" spans="18:18">
      <c r="R108" s="108"/>
    </row>
    <row r="109" spans="18:18">
      <c r="R109" s="108"/>
    </row>
    <row r="110" spans="18:18">
      <c r="R110" s="108"/>
    </row>
    <row r="111" spans="18:18">
      <c r="R111" s="108"/>
    </row>
    <row r="112" spans="18:18">
      <c r="R112" s="108"/>
    </row>
    <row r="113" spans="18:18">
      <c r="R113" s="108"/>
    </row>
    <row r="114" spans="18:18">
      <c r="R114" s="108"/>
    </row>
    <row r="115" spans="18:18">
      <c r="R115" s="108"/>
    </row>
    <row r="116" spans="18:18">
      <c r="R116" s="108"/>
    </row>
    <row r="117" spans="18:18">
      <c r="R117" s="108"/>
    </row>
    <row r="118" spans="18:18">
      <c r="R118" s="108"/>
    </row>
    <row r="119" spans="18:18">
      <c r="R119" s="108"/>
    </row>
    <row r="120" spans="18:18">
      <c r="R120" s="108"/>
    </row>
    <row r="121" spans="18:18">
      <c r="R121" s="108"/>
    </row>
    <row r="122" spans="18:18">
      <c r="R122" s="108"/>
    </row>
    <row r="123" spans="18:18">
      <c r="R123" s="108"/>
    </row>
    <row r="124" spans="18:18">
      <c r="R124" s="108"/>
    </row>
    <row r="125" spans="18:18">
      <c r="R125" s="108"/>
    </row>
    <row r="126" spans="18:18">
      <c r="R126" s="108"/>
    </row>
    <row r="127" spans="18:18">
      <c r="R127" s="108"/>
    </row>
    <row r="128" spans="18:18">
      <c r="R128" s="108"/>
    </row>
    <row r="129" spans="18:18">
      <c r="R129" s="108"/>
    </row>
    <row r="130" spans="18:18">
      <c r="R130" s="108"/>
    </row>
    <row r="131" spans="18:18">
      <c r="R131" s="108"/>
    </row>
    <row r="132" spans="18:18">
      <c r="R132" s="108"/>
    </row>
    <row r="133" spans="18:18">
      <c r="R133" s="108"/>
    </row>
    <row r="134" spans="18:18">
      <c r="R134" s="108"/>
    </row>
    <row r="135" spans="18:18">
      <c r="R135" s="108"/>
    </row>
    <row r="136" spans="18:18">
      <c r="R136" s="108"/>
    </row>
    <row r="137" spans="18:18">
      <c r="R137" s="108"/>
    </row>
    <row r="138" spans="18:18">
      <c r="R138" s="108"/>
    </row>
    <row r="139" spans="18:18">
      <c r="R139" s="108"/>
    </row>
    <row r="140" spans="18:18">
      <c r="R140" s="108"/>
    </row>
    <row r="141" spans="18:18">
      <c r="R141" s="108"/>
    </row>
    <row r="142" spans="18:18">
      <c r="R142" s="108"/>
    </row>
    <row r="143" spans="18:18">
      <c r="R143" s="108"/>
    </row>
    <row r="144" spans="18:18">
      <c r="R144" s="108"/>
    </row>
    <row r="145" spans="18:18">
      <c r="R145" s="108"/>
    </row>
    <row r="146" spans="18:18">
      <c r="R146" s="108"/>
    </row>
    <row r="147" spans="18:18">
      <c r="R147" s="108"/>
    </row>
    <row r="148" spans="18:18">
      <c r="R148" s="108"/>
    </row>
    <row r="149" spans="18:18">
      <c r="R149" s="108"/>
    </row>
    <row r="150" spans="18:18">
      <c r="R150" s="108"/>
    </row>
    <row r="151" spans="18:18">
      <c r="R151" s="108"/>
    </row>
    <row r="152" spans="18:18">
      <c r="R152" s="108"/>
    </row>
    <row r="153" spans="18:18">
      <c r="R153" s="108"/>
    </row>
    <row r="154" spans="18:18">
      <c r="R154" s="108"/>
    </row>
    <row r="155" spans="18:18">
      <c r="R155" s="108"/>
    </row>
    <row r="156" spans="18:18">
      <c r="R156" s="108"/>
    </row>
    <row r="157" spans="18:18">
      <c r="R157" s="108"/>
    </row>
    <row r="158" spans="18:18">
      <c r="R158" s="108"/>
    </row>
    <row r="159" spans="18:18">
      <c r="R159" s="108"/>
    </row>
    <row r="160" spans="18:18">
      <c r="R160" s="108"/>
    </row>
    <row r="161" spans="18:18">
      <c r="R161" s="108"/>
    </row>
    <row r="162" spans="18:18">
      <c r="R162" s="108"/>
    </row>
    <row r="163" spans="18:18">
      <c r="R163" s="108"/>
    </row>
    <row r="164" spans="18:18">
      <c r="R164" s="108"/>
    </row>
    <row r="165" spans="18:18">
      <c r="R165" s="108"/>
    </row>
    <row r="166" spans="18:18">
      <c r="R166" s="108"/>
    </row>
    <row r="167" spans="18:18">
      <c r="R167" s="108"/>
    </row>
    <row r="168" spans="18:18">
      <c r="R168" s="108"/>
    </row>
    <row r="169" spans="18:18">
      <c r="R169" s="108"/>
    </row>
    <row r="170" spans="18:18">
      <c r="R170" s="108"/>
    </row>
    <row r="171" spans="18:18">
      <c r="R171" s="108"/>
    </row>
    <row r="172" spans="18:18">
      <c r="R172" s="108"/>
    </row>
    <row r="173" spans="18:18">
      <c r="R173" s="108"/>
    </row>
    <row r="174" spans="18:18">
      <c r="R174" s="108"/>
    </row>
    <row r="175" spans="18:18">
      <c r="R175" s="108"/>
    </row>
    <row r="176" spans="18:18">
      <c r="R176" s="108"/>
    </row>
    <row r="177" spans="18:18">
      <c r="R177" s="108"/>
    </row>
    <row r="178" spans="18:18">
      <c r="R178" s="108"/>
    </row>
    <row r="179" spans="18:18">
      <c r="R179" s="108"/>
    </row>
    <row r="180" spans="18:18">
      <c r="R180" s="108"/>
    </row>
    <row r="181" spans="18:18">
      <c r="R181" s="108"/>
    </row>
    <row r="182" spans="18:18">
      <c r="R182" s="108"/>
    </row>
    <row r="183" spans="18:18">
      <c r="R183" s="108"/>
    </row>
    <row r="184" spans="18:18">
      <c r="R184" s="108"/>
    </row>
    <row r="185" spans="18:18">
      <c r="R185" s="108"/>
    </row>
    <row r="186" spans="18:18">
      <c r="R186" s="108"/>
    </row>
    <row r="187" spans="18:18">
      <c r="R187" s="108"/>
    </row>
    <row r="188" spans="18:18">
      <c r="R188" s="108"/>
    </row>
    <row r="189" spans="18:18">
      <c r="R189" s="108"/>
    </row>
    <row r="190" spans="18:18">
      <c r="R190" s="108"/>
    </row>
    <row r="191" spans="18:18">
      <c r="R191" s="108"/>
    </row>
    <row r="192" spans="18:18">
      <c r="R192" s="108"/>
    </row>
    <row r="193" spans="18:18">
      <c r="R193" s="108"/>
    </row>
    <row r="194" spans="18:18">
      <c r="R194" s="108"/>
    </row>
    <row r="195" spans="18:18">
      <c r="R195" s="108"/>
    </row>
    <row r="196" spans="18:18">
      <c r="R196" s="108"/>
    </row>
    <row r="197" spans="18:18">
      <c r="R197" s="108"/>
    </row>
    <row r="198" spans="18:18">
      <c r="R198" s="108"/>
    </row>
    <row r="199" spans="18:18">
      <c r="R199" s="108"/>
    </row>
    <row r="200" spans="18:18">
      <c r="R200" s="108"/>
    </row>
    <row r="201" spans="18:18">
      <c r="R201" s="108"/>
    </row>
    <row r="202" spans="18:18">
      <c r="R202" s="108"/>
    </row>
    <row r="203" spans="18:18">
      <c r="R203" s="108"/>
    </row>
    <row r="204" spans="18:18">
      <c r="R204" s="108"/>
    </row>
    <row r="205" spans="18:18">
      <c r="R205" s="108"/>
    </row>
    <row r="206" spans="18:18">
      <c r="R206" s="108"/>
    </row>
    <row r="207" spans="18:18">
      <c r="R207" s="108"/>
    </row>
    <row r="208" spans="18:18">
      <c r="R208" s="108"/>
    </row>
    <row r="209" spans="18:18">
      <c r="R209" s="108"/>
    </row>
    <row r="210" spans="18:18">
      <c r="R210" s="108"/>
    </row>
    <row r="211" spans="18:18">
      <c r="R211" s="108"/>
    </row>
    <row r="212" spans="18:18">
      <c r="R212" s="108"/>
    </row>
    <row r="213" spans="18:18">
      <c r="R213" s="108"/>
    </row>
    <row r="214" spans="18:18">
      <c r="R214" s="108"/>
    </row>
    <row r="215" spans="18:18">
      <c r="R215" s="108"/>
    </row>
    <row r="216" spans="18:18">
      <c r="R216" s="108"/>
    </row>
    <row r="217" spans="18:18">
      <c r="R217" s="108"/>
    </row>
    <row r="218" spans="18:18">
      <c r="R218" s="108"/>
    </row>
    <row r="219" spans="18:18">
      <c r="R219" s="108"/>
    </row>
    <row r="220" spans="18:18">
      <c r="R220" s="108"/>
    </row>
    <row r="221" spans="18:18">
      <c r="R221" s="108"/>
    </row>
    <row r="222" spans="18:18">
      <c r="R222" s="108"/>
    </row>
    <row r="223" spans="18:18">
      <c r="R223" s="108"/>
    </row>
    <row r="224" spans="18:18">
      <c r="R224" s="108"/>
    </row>
    <row r="225" spans="18:18">
      <c r="R225" s="108"/>
    </row>
    <row r="226" spans="18:18">
      <c r="R226" s="108"/>
    </row>
    <row r="227" spans="18:18">
      <c r="R227" s="108"/>
    </row>
    <row r="228" spans="18:18">
      <c r="R228" s="108"/>
    </row>
    <row r="229" spans="18:18">
      <c r="R229" s="108"/>
    </row>
    <row r="230" spans="18:18">
      <c r="R230" s="108"/>
    </row>
    <row r="231" spans="18:18">
      <c r="R231" s="108"/>
    </row>
    <row r="232" spans="18:18">
      <c r="R232" s="108"/>
    </row>
    <row r="233" spans="18:18">
      <c r="R233" s="108"/>
    </row>
    <row r="234" spans="18:18">
      <c r="R234" s="108"/>
    </row>
    <row r="235" spans="18:18">
      <c r="R235" s="108"/>
    </row>
    <row r="236" spans="18:18">
      <c r="R236" s="108"/>
    </row>
    <row r="237" spans="18:18">
      <c r="R237" s="108"/>
    </row>
    <row r="238" spans="18:18">
      <c r="R238" s="108"/>
    </row>
    <row r="239" spans="18:18">
      <c r="R239" s="108"/>
    </row>
    <row r="240" spans="18:18">
      <c r="R240" s="108"/>
    </row>
    <row r="241" spans="18:18">
      <c r="R241" s="108"/>
    </row>
    <row r="242" spans="18:18">
      <c r="R242" s="108"/>
    </row>
    <row r="243" spans="18:18">
      <c r="R243" s="108"/>
    </row>
    <row r="244" spans="18:18">
      <c r="R244" s="108"/>
    </row>
    <row r="245" spans="18:18">
      <c r="R245" s="108"/>
    </row>
    <row r="246" spans="18:18">
      <c r="R246" s="108"/>
    </row>
    <row r="247" spans="18:18">
      <c r="R247" s="108"/>
    </row>
    <row r="248" spans="18:18">
      <c r="R248" s="108"/>
    </row>
    <row r="249" spans="18:18">
      <c r="R249" s="108"/>
    </row>
    <row r="250" spans="18:18">
      <c r="R250" s="108"/>
    </row>
    <row r="251" spans="18:18">
      <c r="R251" s="108"/>
    </row>
    <row r="252" spans="18:18">
      <c r="R252" s="108"/>
    </row>
    <row r="253" spans="18:18">
      <c r="R253" s="108"/>
    </row>
    <row r="254" spans="18:18">
      <c r="R254" s="108"/>
    </row>
  </sheetData>
  <conditionalFormatting sqref="J1:J1048576">
    <cfRule type="containsText" dxfId="4" priority="1" operator="containsText" text="Cancelado">
      <formula>NOT(ISERROR(SEARCH("Cancelado",J1)))</formula>
    </cfRule>
    <cfRule type="containsText" dxfId="3" priority="2" operator="containsText" text="Concluído">
      <formula>NOT(ISERROR(SEARCH("Concluído",J1)))</formula>
    </cfRule>
    <cfRule type="containsText" dxfId="2" priority="3" operator="containsText" text="Não Liberado">
      <formula>NOT(ISERROR(SEARCH("Não Liberado",J1)))</formula>
    </cfRule>
    <cfRule type="containsText" dxfId="1" priority="4" operator="containsText" text="Produção">
      <formula>NOT(ISERROR(SEARCH("Produção",J1)))</formula>
    </cfRule>
    <cfRule type="containsText" dxfId="0" priority="5" operator="containsText" text="Em Andamento">
      <formula>NOT(ISERROR(SEARCH("Em Andamento",J1)))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31B17-3BFE-427D-B185-A6D03EC211C0}">
  <sheetPr codeName="Planilha12"/>
  <dimension ref="A1:M18"/>
  <sheetViews>
    <sheetView showGridLines="0" tabSelected="1" workbookViewId="0">
      <selection activeCell="A8" sqref="A8:E8"/>
    </sheetView>
  </sheetViews>
  <sheetFormatPr defaultRowHeight="15"/>
  <cols>
    <col min="1" max="1" width="13.7109375" style="202" customWidth="1"/>
    <col min="2" max="2" width="23.42578125" style="203" customWidth="1"/>
    <col min="3" max="3" width="15.28515625" style="203" customWidth="1"/>
    <col min="4" max="4" width="21.140625" style="206" customWidth="1"/>
    <col min="5" max="5" width="43.7109375" style="238" customWidth="1"/>
    <col min="11" max="11" width="10.7109375" bestFit="1" customWidth="1"/>
  </cols>
  <sheetData>
    <row r="1" spans="1:11">
      <c r="A1" s="236" t="s">
        <v>978</v>
      </c>
      <c r="B1" s="237"/>
      <c r="C1" s="237"/>
      <c r="D1" s="237"/>
      <c r="E1" s="237"/>
      <c r="I1" s="197"/>
      <c r="K1" s="18"/>
    </row>
    <row r="2" spans="1:11">
      <c r="A2" s="200" t="s">
        <v>975</v>
      </c>
      <c r="B2" s="201" t="s">
        <v>977</v>
      </c>
      <c r="C2" s="201" t="s">
        <v>976</v>
      </c>
      <c r="D2" s="204" t="s">
        <v>821</v>
      </c>
      <c r="E2" s="205" t="s">
        <v>1</v>
      </c>
    </row>
    <row r="3" spans="1:11">
      <c r="A3" s="202">
        <v>45566</v>
      </c>
      <c r="B3" s="203" t="s">
        <v>49</v>
      </c>
      <c r="C3" s="203">
        <v>90</v>
      </c>
      <c r="D3" s="206" t="s">
        <v>809</v>
      </c>
      <c r="E3" s="238" t="s">
        <v>862</v>
      </c>
    </row>
    <row r="4" spans="1:11">
      <c r="A4" s="202">
        <v>45640</v>
      </c>
      <c r="B4" s="203" t="s">
        <v>26</v>
      </c>
      <c r="C4" s="203">
        <v>20</v>
      </c>
      <c r="D4" s="206" t="s">
        <v>810</v>
      </c>
      <c r="E4" s="238" t="s">
        <v>982</v>
      </c>
    </row>
    <row r="5" spans="1:11">
      <c r="A5" s="202">
        <v>45566</v>
      </c>
      <c r="B5" s="203" t="s">
        <v>12</v>
      </c>
      <c r="C5" s="203">
        <v>2</v>
      </c>
      <c r="D5" s="206" t="s">
        <v>811</v>
      </c>
      <c r="E5" s="238" t="s">
        <v>983</v>
      </c>
    </row>
    <row r="6" spans="1:11">
      <c r="A6" s="202">
        <v>45566</v>
      </c>
      <c r="B6" s="203" t="s">
        <v>26</v>
      </c>
      <c r="C6" s="203">
        <v>80</v>
      </c>
      <c r="D6" s="206" t="s">
        <v>810</v>
      </c>
      <c r="E6" s="238" t="s">
        <v>984</v>
      </c>
    </row>
    <row r="7" spans="1:11">
      <c r="A7" s="202">
        <v>45566</v>
      </c>
      <c r="B7" s="203" t="s">
        <v>164</v>
      </c>
      <c r="C7" s="203">
        <v>100</v>
      </c>
      <c r="D7" s="206" t="s">
        <v>812</v>
      </c>
      <c r="E7" s="238" t="s">
        <v>985</v>
      </c>
    </row>
    <row r="8" spans="1:11">
      <c r="A8" s="202">
        <v>45566</v>
      </c>
      <c r="B8" s="203" t="s">
        <v>78</v>
      </c>
      <c r="C8" s="203">
        <v>30</v>
      </c>
      <c r="D8" s="206" t="s">
        <v>814</v>
      </c>
      <c r="E8" s="238" t="s">
        <v>986</v>
      </c>
      <c r="G8" s="197"/>
      <c r="I8" s="197"/>
      <c r="K8" s="18"/>
    </row>
    <row r="9" spans="1:11">
      <c r="A9" s="202">
        <v>45579</v>
      </c>
      <c r="B9" s="203" t="s">
        <v>50</v>
      </c>
      <c r="C9" s="203">
        <v>2</v>
      </c>
      <c r="D9" s="206" t="s">
        <v>814</v>
      </c>
      <c r="E9" s="238" t="s">
        <v>298</v>
      </c>
      <c r="K9" s="18"/>
    </row>
    <row r="10" spans="1:11">
      <c r="K10" s="18"/>
    </row>
    <row r="11" spans="1:11">
      <c r="K11" s="18"/>
    </row>
    <row r="12" spans="1:11">
      <c r="K12" s="18"/>
    </row>
    <row r="13" spans="1:11">
      <c r="K13" s="18"/>
    </row>
    <row r="14" spans="1:11">
      <c r="K14" s="18"/>
    </row>
    <row r="15" spans="1:11">
      <c r="E15" s="239"/>
      <c r="K15" s="18"/>
    </row>
    <row r="18" spans="13:13">
      <c r="M18" t="s">
        <v>980</v>
      </c>
    </row>
  </sheetData>
  <sheetProtection selectLockedCells="1"/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5F18-E636-445E-810F-9D7078994317}">
  <sheetPr codeName="Planilha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Início</vt:lpstr>
      <vt:lpstr>Clientes</vt:lpstr>
      <vt:lpstr>Produtos</vt:lpstr>
      <vt:lpstr>Vendedores</vt:lpstr>
      <vt:lpstr>QTD_liberada_geral</vt:lpstr>
      <vt:lpstr>BASE_ENGENHEIRO</vt:lpstr>
      <vt:lpstr>BALANÇO_PATIO</vt:lpstr>
      <vt:lpstr>Cadastro_Pedido</vt:lpstr>
      <vt:lpstr>Atualizar_Pedido</vt:lpstr>
      <vt:lpstr>Produção</vt:lpstr>
      <vt:lpstr>Entregas</vt:lpstr>
      <vt:lpstr>Expedição</vt:lpstr>
      <vt:lpstr>BALANÇO_PATIO!Criterios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Clara Lopes</dc:creator>
  <cp:lastModifiedBy>macdounout</cp:lastModifiedBy>
  <dcterms:created xsi:type="dcterms:W3CDTF">2024-09-18T14:06:52Z</dcterms:created>
  <dcterms:modified xsi:type="dcterms:W3CDTF">2024-10-14T12:26:53Z</dcterms:modified>
</cp:coreProperties>
</file>